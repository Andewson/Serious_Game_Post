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Parameter" sheetId="2" state="visible" r:id="rId4"/>
    <sheet name="Startnetz" sheetId="3" state="visible" r:id="rId5"/>
    <sheet name="Teststrategien" sheetId="4" state="visible" r:id="rId6"/>
    <sheet name="Kalibrierung" sheetId="5" state="visible" r:id="rId7"/>
    <sheet name="Sensitivitä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Kalibriert: gute Strategien erfüllen alle Standards in rund 70 % der Ereignisfolgen; das Startnetz nie.</t>
        </r>
      </text>
    </comment>
  </commentList>
</comments>
</file>

<file path=xl/sharedStrings.xml><?xml version="1.0" encoding="utf-8"?>
<sst xmlns="http://schemas.openxmlformats.org/spreadsheetml/2006/main" count="686" uniqueCount="307">
  <si>
    <t xml:space="preserve">Balancing «Redesign the Last Mile»</t>
  </si>
  <si>
    <t xml:space="preserve">Regelversion 2.2.0 · erstellt am 29.10.2026 · Simulation mit 60 Ereignisfolgen pro Strategie</t>
  </si>
  <si>
    <t xml:space="preserve">So arbeitet ihr mit dieser Mappe</t>
  </si>
  <si>
    <t xml:space="preserve">1. Blatt «Parameter»: nur die blauen Zahlen in der Spalte «Wert» (gelb hinterlegt) ändern. Jede Zahl hat eine Beschreibung und Einheit.</t>
  </si>
  <si>
    <t xml:space="preserve">2. Blatt «Startnetz»: rechnet mit Formeln, was das unveränderte Diesel-Netz in einer normalen Runde kostet. Es reagiert sofort auf eure Parameter.</t>
  </si>
  <si>
    <t xml:space="preserve">3. Blätter «Teststrategien», «Kalibrierung» und «Sensitivität»: Ergebnisse der automatischen Simulation mit dem echten Rechenkern. Sie ändern sich erst, wenn die Simulation neu läuft.</t>
  </si>
  <si>
    <t xml:space="preserve">4. Geänderte Mappe an Claude geben (oder: python3 tools/excel_to_params.py docs/Balancing.xlsx). Dann wird config/params.json aktualisiert, die Simulation neu gerechnet und das Spiel neu veröffentlicht.</t>
  </si>
  <si>
    <t xml:space="preserve">5. Bei jeder Änderung die Regelversion erhöhen (Parameter «version»), damit die Statistiken nur Spiele mit gleichen Regeln vergleichen.</t>
  </si>
  <si>
    <t xml:space="preserve">Farbcode</t>
  </si>
  <si>
    <t xml:space="preserve">Blaue Schrift auf Gelb = Eingabe · schwarze Schrift = Formel · grüne Schrift = Bezug auf ein anderes Blatt · graue Werte = Ergebnis der Simulation (kein Formelbezug)</t>
  </si>
  <si>
    <t xml:space="preserve">Herkunft der Zahlen</t>
  </si>
  <si>
    <t xml:space="preserve">Alle Werte sind bewusst vereinfachte Spielannahmen, kalibriert per Simulation (Kriterien im Blatt «Kalibrierung»). Sie sind keine Kennzahlen realer Unternehmen. Die WEF-Berichte (2020, 2024) und weitere Literatur sind für die finale Kalibrierung noch auszuwerten.</t>
  </si>
  <si>
    <t xml:space="preserve">Schlüssel</t>
  </si>
  <si>
    <t xml:space="preserve">Bereich</t>
  </si>
  <si>
    <t xml:space="preserve">Beschreibung</t>
  </si>
  <si>
    <t xml:space="preserve">Wert</t>
  </si>
  <si>
    <t xml:space="preserve">Einheit</t>
  </si>
  <si>
    <t xml:space="preserve">Quelle / Annahme</t>
  </si>
  <si>
    <t xml:space="preserve">Startnetz: 4 Diesel-Vans in S1, je 2 in A2 und A8, je 1 im Zentrum jeder Landregion (in params.json unter startNetwork)</t>
  </si>
  <si>
    <t xml:space="preserve">version</t>
  </si>
  <si>
    <t xml:space="preserve">Allgemein</t>
  </si>
  <si>
    <t xml:space="preserve">Regelversion; bei Änderungen erhöhen (z. B. 2.2.1), damit Statistiken nur gleiche Regeln vergleichen</t>
  </si>
  <si>
    <t xml:space="preserve">2.2.0</t>
  </si>
  <si>
    <t xml:space="preserve">Text</t>
  </si>
  <si>
    <t xml:space="preserve">Spielannahme, kalibriert per Simulation</t>
  </si>
  <si>
    <t xml:space="preserve">rounds</t>
  </si>
  <si>
    <t xml:space="preserve">Standard-Rundenzahl pro Spiel (wählbar 4–6)</t>
  </si>
  <si>
    <t xml:space="preserve">Runden</t>
  </si>
  <si>
    <t xml:space="preserve">actionsPerRound</t>
  </si>
  <si>
    <t xml:space="preserve">Aktionen pro Team und Runde</t>
  </si>
  <si>
    <t xml:space="preserve">Anzahl</t>
  </si>
  <si>
    <t xml:space="preserve">maxTeams</t>
  </si>
  <si>
    <t xml:space="preserve">Maximale Anzahl Teams</t>
  </si>
  <si>
    <t xml:space="preserve">upstreamCostPerParcel</t>
  </si>
  <si>
    <t xml:space="preserve">Wirtschaftlichkeit</t>
  </si>
  <si>
    <t xml:space="preserve">Vorlaufkosten pro Paket (Abholung, Sortierung, Hauptlauf); nur für den Lieferketten-Anteil</t>
  </si>
  <si>
    <t xml:space="preserve">CHF/Paket</t>
  </si>
  <si>
    <t xml:space="preserve">tariffPerParcel</t>
  </si>
  <si>
    <t xml:space="preserve">Last-Mile-Tarif: Anteil des Paketpreises nach Abzug der Vorlaufkosten; Mindeststandard Kosten ≤ Tarif</t>
  </si>
  <si>
    <t xml:space="preserve">standards.onTimeNational</t>
  </si>
  <si>
    <t xml:space="preserve">Mindeststandards</t>
  </si>
  <si>
    <t xml:space="preserve">Pünktlichkeit landesweit, mindestens</t>
  </si>
  <si>
    <t xml:space="preserve">Anteil</t>
  </si>
  <si>
    <t xml:space="preserve">standards.onTimeZone</t>
  </si>
  <si>
    <t xml:space="preserve">Pünktlichkeit in jeder Zone, mindestens</t>
  </si>
  <si>
    <t xml:space="preserve">zones.stadt.demand</t>
  </si>
  <si>
    <t xml:space="preserve">Zone Stadt</t>
  </si>
  <si>
    <t xml:space="preserve">Pakete pro Team, Feld und Runde</t>
  </si>
  <si>
    <t xml:space="preserve">Pakete</t>
  </si>
  <si>
    <t xml:space="preserve">zones.stadt.distance</t>
  </si>
  <si>
    <t xml:space="preserve">Distanzfaktor auf variable Kosten und CO₂ von Fahrzeugen</t>
  </si>
  <si>
    <t xml:space="preserve">Faktor</t>
  </si>
  <si>
    <t xml:space="preserve">zones.stadt.failRate</t>
  </si>
  <si>
    <t xml:space="preserve">Fehlzustellungsrate bei Haustürzustellung (Standardpolitik)</t>
  </si>
  <si>
    <t xml:space="preserve">zones.stadt.timeWindowCapacityLoss</t>
  </si>
  <si>
    <t xml:space="preserve">Kapazitätsverlust eigener Fahrzeuge bei Zeitfenstern</t>
  </si>
  <si>
    <t xml:space="preserve">zones.agglo.demand</t>
  </si>
  <si>
    <t xml:space="preserve">Zone Agglo</t>
  </si>
  <si>
    <t xml:space="preserve">zones.agglo.distance</t>
  </si>
  <si>
    <t xml:space="preserve">zones.agglo.failRate</t>
  </si>
  <si>
    <t xml:space="preserve">zones.agglo.timeWindowCapacityLoss</t>
  </si>
  <si>
    <t xml:space="preserve">zones.land.demand</t>
  </si>
  <si>
    <t xml:space="preserve">Zone Land</t>
  </si>
  <si>
    <t xml:space="preserve">zones.land.distance</t>
  </si>
  <si>
    <t xml:space="preserve">zones.land.failRate</t>
  </si>
  <si>
    <t xml:space="preserve">zones.land.timeWindowCapacityLoss</t>
  </si>
  <si>
    <t xml:space="preserve">timeWindowFailFactor</t>
  </si>
  <si>
    <t xml:space="preserve">Zonen</t>
  </si>
  <si>
    <t xml:space="preserve">Faktor auf die Fehlzustellungsrate bei Zeitfenstern (0.5 = halbiert)</t>
  </si>
  <si>
    <t xml:space="preserve">elements.vanDiesel.driverCost</t>
  </si>
  <si>
    <t xml:space="preserve">Diesel-Van</t>
  </si>
  <si>
    <t xml:space="preserve">Lohn pro Fahrer und Runde (wird mit dem Lohnindex multipliziert)</t>
  </si>
  <si>
    <t xml:space="preserve">CHF/Runde</t>
  </si>
  <si>
    <t xml:space="preserve">elements.vanDiesel.leasing</t>
  </si>
  <si>
    <t xml:space="preserve">Leasing bzw. Miete pro Runde</t>
  </si>
  <si>
    <t xml:space="preserve">elements.vanDiesel.drivers</t>
  </si>
  <si>
    <t xml:space="preserve">Benötigte Fahrer (zählen am gemeinsamen Arbeitsmarkt)</t>
  </si>
  <si>
    <t xml:space="preserve">elements.vanDiesel.varCost</t>
  </si>
  <si>
    <t xml:space="preserve">Variable Kosten pro Paket</t>
  </si>
  <si>
    <t xml:space="preserve">elements.vanDiesel.co2</t>
  </si>
  <si>
    <t xml:space="preserve">CO₂ pro Paket (bei Fahrzeugen mal Distanzfaktor)</t>
  </si>
  <si>
    <t xml:space="preserve">g/Paket</t>
  </si>
  <si>
    <t xml:space="preserve">elements.vanDiesel.capacity</t>
  </si>
  <si>
    <t xml:space="preserve">Kapazität pro Runde (in Stadt-Paketen)</t>
  </si>
  <si>
    <t xml:space="preserve">Einheiten</t>
  </si>
  <si>
    <t xml:space="preserve">elements.vanDiesel.range</t>
  </si>
  <si>
    <t xml:space="preserve">Reichweite ab Standortfeld</t>
  </si>
  <si>
    <t xml:space="preserve">Felder</t>
  </si>
  <si>
    <t xml:space="preserve">elements.vanDiesel.weight.stadt</t>
  </si>
  <si>
    <t xml:space="preserve">Kapazitätsverbrauch pro Paket in Zone Stadt (längere Wege = mehr)</t>
  </si>
  <si>
    <t xml:space="preserve">elements.vanDiesel.weight.agglo</t>
  </si>
  <si>
    <t xml:space="preserve">Kapazitätsverbrauch pro Paket in Zone Agglo (längere Wege = mehr)</t>
  </si>
  <si>
    <t xml:space="preserve">elements.vanDiesel.weight.land</t>
  </si>
  <si>
    <t xml:space="preserve">Kapazitätsverbrauch pro Paket in Zone Land (längere Wege = mehr)</t>
  </si>
  <si>
    <t xml:space="preserve">elements.vanE.driverCost</t>
  </si>
  <si>
    <t xml:space="preserve">E-Van</t>
  </si>
  <si>
    <t xml:space="preserve">elements.vanE.leasing</t>
  </si>
  <si>
    <t xml:space="preserve">elements.vanE.drivers</t>
  </si>
  <si>
    <t xml:space="preserve">elements.vanE.varCost</t>
  </si>
  <si>
    <t xml:space="preserve">elements.vanE.co2</t>
  </si>
  <si>
    <t xml:space="preserve">elements.vanE.capacity</t>
  </si>
  <si>
    <t xml:space="preserve">elements.vanE.range</t>
  </si>
  <si>
    <t xml:space="preserve">elements.vanE.weight.stadt</t>
  </si>
  <si>
    <t xml:space="preserve">elements.vanE.weight.agglo</t>
  </si>
  <si>
    <t xml:space="preserve">elements.vanE.weight.land</t>
  </si>
  <si>
    <t xml:space="preserve">elements.hub.driverCost</t>
  </si>
  <si>
    <t xml:space="preserve">Micro-Hub mit Cargo-Bikes</t>
  </si>
  <si>
    <t xml:space="preserve">elements.hub.leasing</t>
  </si>
  <si>
    <t xml:space="preserve">elements.hub.drivers</t>
  </si>
  <si>
    <t xml:space="preserve">elements.hub.varCost</t>
  </si>
  <si>
    <t xml:space="preserve">elements.hub.co2</t>
  </si>
  <si>
    <t xml:space="preserve">elements.hub.capacity</t>
  </si>
  <si>
    <t xml:space="preserve">elements.hub.range</t>
  </si>
  <si>
    <t xml:space="preserve">elements.hub.resupplyCost</t>
  </si>
  <si>
    <t xml:space="preserve">Nachschubkosten pro Paket (Zubringer zu Hub/Box)</t>
  </si>
  <si>
    <t xml:space="preserve">elements.hub.resupplyCo2</t>
  </si>
  <si>
    <t xml:space="preserve">Nachschub-CO₂ pro Paket</t>
  </si>
  <si>
    <t xml:space="preserve">elements.hub.weight.stadt</t>
  </si>
  <si>
    <t xml:space="preserve">elements.hub.weight.agglo</t>
  </si>
  <si>
    <t xml:space="preserve">elements.hub.weight.land</t>
  </si>
  <si>
    <t xml:space="preserve">elements.hub.buildDelay</t>
  </si>
  <si>
    <t xml:space="preserve">Bauzeit bis zur Wirkung</t>
  </si>
  <si>
    <t xml:space="preserve">elements.box.leasing</t>
  </si>
  <si>
    <t xml:space="preserve">Paketbox/PUDO</t>
  </si>
  <si>
    <t xml:space="preserve">elements.box.drivers</t>
  </si>
  <si>
    <t xml:space="preserve">elements.box.varCost</t>
  </si>
  <si>
    <t xml:space="preserve">elements.box.co2</t>
  </si>
  <si>
    <t xml:space="preserve">elements.box.acceptance</t>
  </si>
  <si>
    <t xml:space="preserve">Anteil der Kundschaft, der an der Box abholt</t>
  </si>
  <si>
    <t xml:space="preserve">elements.box.failRate</t>
  </si>
  <si>
    <t xml:space="preserve">Fehlzustellungsrate</t>
  </si>
  <si>
    <t xml:space="preserve">elements.box.resupplyCost</t>
  </si>
  <si>
    <t xml:space="preserve">elements.box.resupplyCo2</t>
  </si>
  <si>
    <t xml:space="preserve">elements.box.buildDelay</t>
  </si>
  <si>
    <t xml:space="preserve">elements.post.feePerRegion</t>
  </si>
  <si>
    <t xml:space="preserve">Post-Vertrag</t>
  </si>
  <si>
    <t xml:space="preserve">Vertragsgebühr pro Landregion und Runde (3 Regionen)</t>
  </si>
  <si>
    <t xml:space="preserve">elements.post.varCost</t>
  </si>
  <si>
    <t xml:space="preserve">elements.post.co2</t>
  </si>
  <si>
    <t xml:space="preserve">elements.post.onTimeRate</t>
  </si>
  <si>
    <t xml:space="preserve">Anteil am nächsten Tag erfolgreich zugestellt (fiktiver Spielwert)</t>
  </si>
  <si>
    <t xml:space="preserve">Fiktiver Spielwert, keine Kennzahl eines realen Anbieters bzw. keine geltende Abgabe (CH: CO₂-Abgabe nur auf Brennstoffe)</t>
  </si>
  <si>
    <t xml:space="preserve">elements.post.failRate</t>
  </si>
  <si>
    <t xml:space="preserve">elements.post.capacityShare</t>
  </si>
  <si>
    <t xml:space="preserve">Kapazität als Anteil der normalen Regionsnachfrage</t>
  </si>
  <si>
    <t xml:space="preserve">elements.crowd.varCost</t>
  </si>
  <si>
    <t xml:space="preserve">Crowd-Fahrer</t>
  </si>
  <si>
    <t xml:space="preserve">elements.crowd.co2</t>
  </si>
  <si>
    <t xml:space="preserve">elements.crowd.capacity</t>
  </si>
  <si>
    <t xml:space="preserve">elements.crowd.range</t>
  </si>
  <si>
    <t xml:space="preserve">elements.crowd.failRate</t>
  </si>
  <si>
    <t xml:space="preserve">elements.emergency.varCost</t>
  </si>
  <si>
    <t xml:space="preserve">Notfall-Subunternehmer</t>
  </si>
  <si>
    <t xml:space="preserve">elements.emergency.co2</t>
  </si>
  <si>
    <t xml:space="preserve">elements.emergency.failRate</t>
  </si>
  <si>
    <t xml:space="preserve">labour.baseWageGrowth</t>
  </si>
  <si>
    <t xml:space="preserve">Arbeitsmarkt</t>
  </si>
  <si>
    <t xml:space="preserve">Lohnanstieg pro Runde ohne Knappheit</t>
  </si>
  <si>
    <t xml:space="preserve">labour.scarcitySensitivity</t>
  </si>
  <si>
    <t xml:space="preserve">Zusätzlicher Lohnanstieg pro 100 % mehr Fahrer als zu Spielbeginn (alle Teams)</t>
  </si>
  <si>
    <t xml:space="preserve">events.zez.announceLead</t>
  </si>
  <si>
    <t xml:space="preserve">Ereignis Null-Emissions-Zone</t>
  </si>
  <si>
    <t xml:space="preserve">Vorlauf der Ankündigung</t>
  </si>
  <si>
    <t xml:space="preserve">events.peak.announceLead</t>
  </si>
  <si>
    <t xml:space="preserve">Ereignis Black Friday</t>
  </si>
  <si>
    <t xml:space="preserve">events.peak.demandFactor</t>
  </si>
  <si>
    <t xml:space="preserve">Faktor auf die Nachfrage</t>
  </si>
  <si>
    <t xml:space="preserve">events.co2tax.announceLead</t>
  </si>
  <si>
    <t xml:space="preserve">Ereignis CO₂-Abgabe</t>
  </si>
  <si>
    <t xml:space="preserve">events.co2tax.chfPerKg</t>
  </si>
  <si>
    <t xml:space="preserve">Abgabe pro kg CO₂ (fiktive Regulierung)</t>
  </si>
  <si>
    <t xml:space="preserve">CHF/kg</t>
  </si>
  <si>
    <t xml:space="preserve">events.boxBoom.announceLead</t>
  </si>
  <si>
    <t xml:space="preserve">Ereignis Boxen beliebter</t>
  </si>
  <si>
    <t xml:space="preserve">events.boxBoom.acceptance</t>
  </si>
  <si>
    <t xml:space="preserve">Neue Akzeptanzquote der Box</t>
  </si>
  <si>
    <t xml:space="preserve">events.strike.capacityFactor</t>
  </si>
  <si>
    <t xml:space="preserve">Ereignis Streik</t>
  </si>
  <si>
    <t xml:space="preserve">Faktor auf die Kapazität</t>
  </si>
  <si>
    <t xml:space="preserve">events.strike.duration</t>
  </si>
  <si>
    <t xml:space="preserve">Dauer</t>
  </si>
  <si>
    <t xml:space="preserve">events.fuel.dieselVarFactor</t>
  </si>
  <si>
    <t xml:space="preserve">Ereignis Treibstoffpreis</t>
  </si>
  <si>
    <t xml:space="preserve">Faktor auf die variablen Diesel-Kosten</t>
  </si>
  <si>
    <t xml:space="preserve">events.fuel.emergencyExtra</t>
  </si>
  <si>
    <t xml:space="preserve">Zuschlag Notfall-Subunternehmer</t>
  </si>
  <si>
    <t xml:space="preserve">events.fuel.duration</t>
  </si>
  <si>
    <t xml:space="preserve">events.shortage.capacityFactor</t>
  </si>
  <si>
    <t xml:space="preserve">Ereignis Fahrermangel</t>
  </si>
  <si>
    <t xml:space="preserve">events.shortage.wageJump</t>
  </si>
  <si>
    <t xml:space="preserve">Einmaliger Lohnsprung</t>
  </si>
  <si>
    <t xml:space="preserve">events.demandSurge.factor</t>
  </si>
  <si>
    <t xml:space="preserve">Ereignis Nachfrageschub</t>
  </si>
  <si>
    <t xml:space="preserve">Faktor auf die Nachfrage der betroffenen Zone</t>
  </si>
  <si>
    <t xml:space="preserve">events.demandSurge.duration</t>
  </si>
  <si>
    <t xml:space="preserve">events.shocksPerGame</t>
  </si>
  <si>
    <t xml:space="preserve">Ereignisse</t>
  </si>
  <si>
    <t xml:space="preserve">Überraschungen pro Spiel</t>
  </si>
  <si>
    <t xml:space="preserve">events.extraAnnouncements</t>
  </si>
  <si>
    <t xml:space="preserve">Zusätzliche Ankündigungen (CO₂-Abgabe oder Boxen beliebter)</t>
  </si>
  <si>
    <t xml:space="preserve">Kostenstruktur des Startnetzes in einer normalen Runde (ohne Ereignisse)</t>
  </si>
  <si>
    <t xml:space="preserve">Vereinfachte Rechnung mit Formeln: Fixkosten nach Standortzone, variable Kosten nach Zustellzone. Vergleichswert aus dem Rechenkern in Spalte H.</t>
  </si>
  <si>
    <t xml:space="preserve">Zone</t>
  </si>
  <si>
    <t xml:space="preserve">Diesel-Vans (Standort)</t>
  </si>
  <si>
    <t xml:space="preserve">Fixkosten</t>
  </si>
  <si>
    <t xml:space="preserve">Variable Kosten inkl. Zweitzustellung</t>
  </si>
  <si>
    <t xml:space="preserve">Kosten pro Paket</t>
  </si>
  <si>
    <t xml:space="preserve">Rechenkern Runde 1</t>
  </si>
  <si>
    <t xml:space="preserve">Kapazitätsbedarf (Einheiten)</t>
  </si>
  <si>
    <t xml:space="preserve">Stadt</t>
  </si>
  <si>
    <t xml:space="preserve">Agglo</t>
  </si>
  <si>
    <t xml:space="preserve">Land</t>
  </si>
  <si>
    <t xml:space="preserve">Total</t>
  </si>
  <si>
    <t xml:space="preserve">Kapazität der Diesel-Vans im Startnetz (Einheiten)</t>
  </si>
  <si>
    <t xml:space="preserve">Auslastung des Startnetzes</t>
  </si>
  <si>
    <t xml:space="preserve">Anteil letzte Meile an den gesamten Paketkosten</t>
  </si>
  <si>
    <t xml:space="preserve">Last-Mile-Tarif</t>
  </si>
  <si>
    <t xml:space="preserve">Abstand Startnetz zum Tarif (negativ = teurer als Tarif)</t>
  </si>
  <si>
    <t xml:space="preserve">Hinweis: Die Stadt-Vans in S1 bedienen auch die Agglo; die Zuordnung der Fixkosten folgt dem Standort (Spalte D). Kleine Abweichungen zu Spalte H entstehen, weil der Rechenkern die Pakete feldgenau zuteilt.</t>
  </si>
  <si>
    <t xml:space="preserve">Ergebnisse der Simulation: 60 Ereignisfolgen pro Strategie, je ein Team allein, 4 Runden</t>
  </si>
  <si>
    <t xml:space="preserve">Strategie</t>
  </si>
  <si>
    <t xml:space="preserve">Kosten pro Paket (CHF)</t>
  </si>
  <si>
    <t xml:space="preserve">Pünktlichkeit</t>
  </si>
  <si>
    <t xml:space="preserve">CO₂ pro Paket (g)</t>
  </si>
  <si>
    <t xml:space="preserve">Fehlzustellungen</t>
  </si>
  <si>
    <t xml:space="preserve">Alle Standards erfüllt</t>
  </si>
  <si>
    <t xml:space="preserve">Standard landesweit</t>
  </si>
  <si>
    <t xml:space="preserve">Standard Kosten</t>
  </si>
  <si>
    <t xml:space="preserve">Standard alle Zonen</t>
  </si>
  <si>
    <t xml:space="preserve">Pünktl. Stadt</t>
  </si>
  <si>
    <t xml:space="preserve">Pünktl. Agglo</t>
  </si>
  <si>
    <t xml:space="preserve">Pünktl. Land</t>
  </si>
  <si>
    <t xml:space="preserve">Anteil letzte Meile</t>
  </si>
  <si>
    <t xml:space="preserve">Bewertung</t>
  </si>
  <si>
    <t xml:space="preserve">nichts</t>
  </si>
  <si>
    <t xml:space="preserve">Nichts ändern (nur Diesel)</t>
  </si>
  <si>
    <t xml:space="preserve">hubsStadt</t>
  </si>
  <si>
    <t xml:space="preserve">Früh grün: Hubs in der Stadt, Post auf dem Land</t>
  </si>
  <si>
    <t xml:space="preserve">hubsGeschickt</t>
  </si>
  <si>
    <t xml:space="preserve">Hubs in der Stadt mit Zeitfenstern, Post auf dem Land</t>
  </si>
  <si>
    <t xml:space="preserve">boxenHubs</t>
  </si>
  <si>
    <t xml:space="preserve">Boxen und Hubs in der Stadt, Post auf dem Land</t>
  </si>
  <si>
    <t xml:space="preserve">mixZonen</t>
  </si>
  <si>
    <t xml:space="preserve">Mix nach Zonen: Boxen Stadt, Post Land, E-Vans</t>
  </si>
  <si>
    <t xml:space="preserve">stadtMax</t>
  </si>
  <si>
    <t xml:space="preserve">Stadt maximieren, Land vernachlässigen</t>
  </si>
  <si>
    <t xml:space="preserve">boxPost</t>
  </si>
  <si>
    <t xml:space="preserve">Boxen überall, Post auf dem Land</t>
  </si>
  <si>
    <t xml:space="preserve">zeitfenster</t>
  </si>
  <si>
    <t xml:space="preserve">Zeitfenster in allen Zonen</t>
  </si>
  <si>
    <t xml:space="preserve">vieleVans</t>
  </si>
  <si>
    <t xml:space="preserve">Viele zusätzliche Vans</t>
  </si>
  <si>
    <t xml:space="preserve">postUndFlotte</t>
  </si>
  <si>
    <t xml:space="preserve">Post-Vertrag, aber eigene Land-Vans behalten</t>
  </si>
  <si>
    <t xml:space="preserve">spaetBauen</t>
  </si>
  <si>
    <t xml:space="preserve">Hub und Box erst spät</t>
  </si>
  <si>
    <t xml:space="preserve">ungenutzterVan</t>
  </si>
  <si>
    <t xml:space="preserve">Ungenutzter Van an der Zonengrenze</t>
  </si>
  <si>
    <t xml:space="preserve">Viererpartien (je Seed eine Partie)</t>
  </si>
  <si>
    <t xml:space="preserve">mixZonen vs. hubsStadt vs. boxPost vs. nichts</t>
  </si>
  <si>
    <t xml:space="preserve">Siege: mixZonen 28, hubsStadt 0, boxPost 19, nichts 0 · ohne Sieger: 13</t>
  </si>
  <si>
    <t xml:space="preserve">mixZonen vs. zeitfenster vs. stadtMax vs. vieleVans</t>
  </si>
  <si>
    <t xml:space="preserve">Siege: mixZonen 13, zeitfenster 0, stadtMax 0, vieleVans 0 · ohne Sieger: 47</t>
  </si>
  <si>
    <t xml:space="preserve">hubsGeschickt vs. boxPost vs. mixZonen vs. boxenHubs</t>
  </si>
  <si>
    <t xml:space="preserve">Siege: hubsGeschickt 1, boxPost 18, mixZonen 25, boxenHubs 0 · ohne Sieger: 16</t>
  </si>
  <si>
    <t xml:space="preserve">Arbeitsmarkt: Kosten pro Paket eines Teams «Mix nach Zonen» mit und ohne ein Team, das massiv Vans einstellt</t>
  </si>
  <si>
    <t xml:space="preserve">ohne</t>
  </si>
  <si>
    <t xml:space="preserve">mit</t>
  </si>
  <si>
    <t xml:space="preserve">Mehrkosten für das andere Team</t>
  </si>
  <si>
    <t xml:space="preserve">Kalibrierungskriterien aus dem Prüfdossier (Version 2.1) und ihre Prüfung</t>
  </si>
  <si>
    <t xml:space="preserve">Nr.</t>
  </si>
  <si>
    <t xml:space="preserve">Kriterium</t>
  </si>
  <si>
    <t xml:space="preserve">Messung</t>
  </si>
  <si>
    <t xml:space="preserve">Ergebnis</t>
  </si>
  <si>
    <t xml:space="preserve">Startnetz verfehlt unter Belastung mindestens einen Standard</t>
  </si>
  <si>
    <t xml:space="preserve">Anteil Ereignisfolgen, in denen «Nichts ändern» alle Standards erfüllt</t>
  </si>
  <si>
    <t xml:space="preserve">Mindestens zwei unterschiedliche Strategien erfüllen alle Standards</t>
  </si>
  <si>
    <t xml:space="preserve">Anzahl Strategien mit Erfolgsquote ≥ 50 %</t>
  </si>
  <si>
    <t xml:space="preserve">Kein Element ist in allen Zonen das beste</t>
  </si>
  <si>
    <t xml:space="preserve">Hub nur Stadt, Box auf dem Land teuer, Post nur Land (Regel)</t>
  </si>
  <si>
    <t xml:space="preserve">Regel im Modell</t>
  </si>
  <si>
    <t xml:space="preserve">erfüllt</t>
  </si>
  <si>
    <t xml:space="preserve">Tarif wirtschaftlich begründet</t>
  </si>
  <si>
    <t xml:space="preserve">Paketpreis = Tarif + Vorlaufkosten</t>
  </si>
  <si>
    <t xml:space="preserve">Anteil letzte Meile im Startnetz 40–50 %</t>
  </si>
  <si>
    <t xml:space="preserve">aus Blatt Startnetz</t>
  </si>
  <si>
    <t xml:space="preserve">Rangfolge robust bei ±20 % je Parameter</t>
  </si>
  <si>
    <t xml:space="preserve">Variationen mit unveränderten Top 2 (von 16)</t>
  </si>
  <si>
    <t xml:space="preserve">Befund Sensitivität: Steigen die Löhne um 20 %, erfüllt kaum noch eine Strategie den Kostenstandard. Wer Löhne erhöht, sollte den Tarif mitprüfen.</t>
  </si>
  <si>
    <t xml:space="preserve">Sensitivität: je ein Parameter um −20 % bzw. +20 % verändert, 30 Ereignisfolgen pro Strategie</t>
  </si>
  <si>
    <t xml:space="preserve">Parameter</t>
  </si>
  <si>
    <t xml:space="preserve">Beste Strategie</t>
  </si>
  <si>
    <t xml:space="preserve">Zweitbeste</t>
  </si>
  <si>
    <t xml:space="preserve">Startnetz scheitert weiter</t>
  </si>
  <si>
    <t xml:space="preserve">Top 2 unverändert</t>
  </si>
  <si>
    <t xml:space="preserve">Post: Kosten pro Paket</t>
  </si>
  <si>
    <t xml:space="preserve">ja</t>
  </si>
  <si>
    <t xml:space="preserve">stabil</t>
  </si>
  <si>
    <t xml:space="preserve">Box: Miete pro Feld</t>
  </si>
  <si>
    <t xml:space="preserve">Hub: Kapazität</t>
  </si>
  <si>
    <t xml:space="preserve">E-Van: Leasing</t>
  </si>
  <si>
    <t xml:space="preserve">Fahrerlohn (alle Vans)</t>
  </si>
  <si>
    <t xml:space="preserve">Wechsel</t>
  </si>
  <si>
    <t xml:space="preserve">Notfall: Kosten pro Paket</t>
  </si>
  <si>
    <t xml:space="preserve">Crowd: Kosten pro Paket</t>
  </si>
  <si>
    <t xml:space="preserve">Fehlzustellung Stadt</t>
  </si>
  <si>
    <t xml:space="preserve">Basis (unverändert): Mix nach Zonen: Boxen Stadt, Post Land, E-Vans &gt; Boxen überall, Post auf dem Land &gt; Boxen und Hubs in der Stadt, Post auf dem Land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</si>
</sst>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General"/>
    <numFmt numFmtId="168" formatCode="#,##0"/>
    <numFmt numFmtId="169" formatCode="0%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BEA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FF2CC"/>
      <rgbColor rgb="FFDCEB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H1" s="5" t="s">
        <v>18</v>
      </c>
    </row>
    <row r="2" customFormat="false" ht="23.85" hidden="false" customHeight="false" outlineLevel="0" collapsed="false">
      <c r="A2" s="6" t="s">
        <v>19</v>
      </c>
      <c r="B2" s="6" t="s">
        <v>20</v>
      </c>
      <c r="C2" s="6" t="s">
        <v>21</v>
      </c>
      <c r="D2" s="7" t="s">
        <v>22</v>
      </c>
      <c r="E2" s="6" t="s">
        <v>23</v>
      </c>
      <c r="F2" s="6" t="s">
        <v>24</v>
      </c>
    </row>
    <row r="3" customFormat="false" ht="15" hidden="false" customHeight="false" outlineLevel="0" collapsed="false">
      <c r="A3" s="6" t="s">
        <v>25</v>
      </c>
      <c r="B3" s="6" t="s">
        <v>20</v>
      </c>
      <c r="C3" s="6" t="s">
        <v>26</v>
      </c>
      <c r="D3" s="7" t="n">
        <v>4</v>
      </c>
      <c r="E3" s="6" t="s">
        <v>27</v>
      </c>
      <c r="F3" s="6" t="s">
        <v>24</v>
      </c>
    </row>
    <row r="4" customFormat="false" ht="15" hidden="false" customHeight="false" outlineLevel="0" collapsed="false">
      <c r="A4" s="6" t="s">
        <v>28</v>
      </c>
      <c r="B4" s="6" t="s">
        <v>20</v>
      </c>
      <c r="C4" s="6" t="s">
        <v>29</v>
      </c>
      <c r="D4" s="7" t="n">
        <v>2</v>
      </c>
      <c r="E4" s="6" t="s">
        <v>30</v>
      </c>
      <c r="F4" s="6" t="s">
        <v>24</v>
      </c>
    </row>
    <row r="5" customFormat="false" ht="15" hidden="false" customHeight="false" outlineLevel="0" collapsed="false">
      <c r="A5" s="6" t="s">
        <v>31</v>
      </c>
      <c r="B5" s="6" t="s">
        <v>20</v>
      </c>
      <c r="C5" s="6" t="s">
        <v>32</v>
      </c>
      <c r="D5" s="7" t="n">
        <v>5</v>
      </c>
      <c r="E5" s="6" t="s">
        <v>30</v>
      </c>
      <c r="F5" s="6" t="s">
        <v>24</v>
      </c>
    </row>
    <row r="6" customFormat="false" ht="23.85" hidden="false" customHeight="false" outlineLevel="0" collapsed="false">
      <c r="A6" s="6" t="s">
        <v>33</v>
      </c>
      <c r="B6" s="6" t="s">
        <v>34</v>
      </c>
      <c r="C6" s="6" t="s">
        <v>35</v>
      </c>
      <c r="D6" s="8" t="n">
        <v>5.5</v>
      </c>
      <c r="E6" s="6" t="s">
        <v>36</v>
      </c>
      <c r="F6" s="6" t="s">
        <v>24</v>
      </c>
    </row>
    <row r="7" customFormat="false" ht="23.85" hidden="false" customHeight="false" outlineLevel="0" collapsed="false">
      <c r="A7" s="6" t="s">
        <v>37</v>
      </c>
      <c r="B7" s="6" t="s">
        <v>34</v>
      </c>
      <c r="C7" s="6" t="s">
        <v>38</v>
      </c>
      <c r="D7" s="8" t="n">
        <v>5.6</v>
      </c>
      <c r="E7" s="6" t="s">
        <v>36</v>
      </c>
      <c r="F7" s="6" t="s">
        <v>24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s">
        <v>41</v>
      </c>
      <c r="D8" s="9" t="n">
        <v>0.9</v>
      </c>
      <c r="E8" s="6" t="s">
        <v>42</v>
      </c>
      <c r="F8" s="6" t="s">
        <v>24</v>
      </c>
    </row>
    <row r="9" customFormat="false" ht="15" hidden="false" customHeight="false" outlineLevel="0" collapsed="false">
      <c r="A9" s="6" t="s">
        <v>43</v>
      </c>
      <c r="B9" s="6" t="s">
        <v>40</v>
      </c>
      <c r="C9" s="6" t="s">
        <v>44</v>
      </c>
      <c r="D9" s="9" t="n">
        <v>0.8</v>
      </c>
      <c r="E9" s="6" t="s">
        <v>42</v>
      </c>
      <c r="F9" s="6" t="s">
        <v>24</v>
      </c>
    </row>
    <row r="10" customFormat="false" ht="15" hidden="false" customHeight="false" outlineLevel="0" collapsed="false">
      <c r="A10" s="6" t="s">
        <v>45</v>
      </c>
      <c r="B10" s="6" t="s">
        <v>46</v>
      </c>
      <c r="C10" s="6" t="s">
        <v>47</v>
      </c>
      <c r="D10" s="7" t="n">
        <v>70</v>
      </c>
      <c r="E10" s="6" t="s">
        <v>48</v>
      </c>
      <c r="F10" s="6" t="s">
        <v>24</v>
      </c>
    </row>
    <row r="11" customFormat="false" ht="15" hidden="false" customHeight="false" outlineLevel="0" collapsed="false">
      <c r="A11" s="6" t="s">
        <v>49</v>
      </c>
      <c r="B11" s="6" t="s">
        <v>46</v>
      </c>
      <c r="C11" s="6" t="s">
        <v>50</v>
      </c>
      <c r="D11" s="7" t="n">
        <v>1</v>
      </c>
      <c r="E11" s="6" t="s">
        <v>51</v>
      </c>
      <c r="F11" s="6" t="s">
        <v>24</v>
      </c>
    </row>
    <row r="12" customFormat="false" ht="15" hidden="false" customHeight="false" outlineLevel="0" collapsed="false">
      <c r="A12" s="6" t="s">
        <v>52</v>
      </c>
      <c r="B12" s="6" t="s">
        <v>46</v>
      </c>
      <c r="C12" s="6" t="s">
        <v>53</v>
      </c>
      <c r="D12" s="9" t="n">
        <v>0.12</v>
      </c>
      <c r="E12" s="6" t="s">
        <v>42</v>
      </c>
      <c r="F12" s="6" t="s">
        <v>24</v>
      </c>
    </row>
    <row r="13" customFormat="false" ht="15" hidden="false" customHeight="false" outlineLevel="0" collapsed="false">
      <c r="A13" s="6" t="s">
        <v>54</v>
      </c>
      <c r="B13" s="6" t="s">
        <v>46</v>
      </c>
      <c r="C13" s="6" t="s">
        <v>55</v>
      </c>
      <c r="D13" s="9" t="n">
        <v>0.15</v>
      </c>
      <c r="E13" s="6" t="s">
        <v>42</v>
      </c>
      <c r="F13" s="6" t="s">
        <v>24</v>
      </c>
    </row>
    <row r="14" customFormat="false" ht="15" hidden="false" customHeight="false" outlineLevel="0" collapsed="false">
      <c r="A14" s="6" t="s">
        <v>56</v>
      </c>
      <c r="B14" s="6" t="s">
        <v>57</v>
      </c>
      <c r="C14" s="6" t="s">
        <v>47</v>
      </c>
      <c r="D14" s="7" t="n">
        <v>30</v>
      </c>
      <c r="E14" s="6" t="s">
        <v>48</v>
      </c>
      <c r="F14" s="6" t="s">
        <v>24</v>
      </c>
    </row>
    <row r="15" customFormat="false" ht="15" hidden="false" customHeight="false" outlineLevel="0" collapsed="false">
      <c r="A15" s="6" t="s">
        <v>58</v>
      </c>
      <c r="B15" s="6" t="s">
        <v>57</v>
      </c>
      <c r="C15" s="6" t="s">
        <v>50</v>
      </c>
      <c r="D15" s="7" t="n">
        <v>1.4</v>
      </c>
      <c r="E15" s="6" t="s">
        <v>51</v>
      </c>
      <c r="F15" s="6" t="s">
        <v>24</v>
      </c>
    </row>
    <row r="16" customFormat="false" ht="15" hidden="false" customHeight="false" outlineLevel="0" collapsed="false">
      <c r="A16" s="6" t="s">
        <v>59</v>
      </c>
      <c r="B16" s="6" t="s">
        <v>57</v>
      </c>
      <c r="C16" s="6" t="s">
        <v>53</v>
      </c>
      <c r="D16" s="9" t="n">
        <v>0.06</v>
      </c>
      <c r="E16" s="6" t="s">
        <v>42</v>
      </c>
      <c r="F16" s="6" t="s">
        <v>24</v>
      </c>
    </row>
    <row r="17" customFormat="false" ht="15" hidden="false" customHeight="false" outlineLevel="0" collapsed="false">
      <c r="A17" s="6" t="s">
        <v>60</v>
      </c>
      <c r="B17" s="6" t="s">
        <v>57</v>
      </c>
      <c r="C17" s="6" t="s">
        <v>55</v>
      </c>
      <c r="D17" s="9" t="n">
        <v>0.08</v>
      </c>
      <c r="E17" s="6" t="s">
        <v>42</v>
      </c>
      <c r="F17" s="6" t="s">
        <v>24</v>
      </c>
    </row>
    <row r="18" customFormat="false" ht="15" hidden="false" customHeight="false" outlineLevel="0" collapsed="false">
      <c r="A18" s="6" t="s">
        <v>61</v>
      </c>
      <c r="B18" s="6" t="s">
        <v>62</v>
      </c>
      <c r="C18" s="6" t="s">
        <v>47</v>
      </c>
      <c r="D18" s="7" t="n">
        <v>8</v>
      </c>
      <c r="E18" s="6" t="s">
        <v>48</v>
      </c>
      <c r="F18" s="6" t="s">
        <v>24</v>
      </c>
    </row>
    <row r="19" customFormat="false" ht="15" hidden="false" customHeight="false" outlineLevel="0" collapsed="false">
      <c r="A19" s="6" t="s">
        <v>63</v>
      </c>
      <c r="B19" s="6" t="s">
        <v>62</v>
      </c>
      <c r="C19" s="6" t="s">
        <v>50</v>
      </c>
      <c r="D19" s="7" t="n">
        <v>3</v>
      </c>
      <c r="E19" s="6" t="s">
        <v>51</v>
      </c>
      <c r="F19" s="6" t="s">
        <v>24</v>
      </c>
    </row>
    <row r="20" customFormat="false" ht="15" hidden="false" customHeight="false" outlineLevel="0" collapsed="false">
      <c r="A20" s="6" t="s">
        <v>64</v>
      </c>
      <c r="B20" s="6" t="s">
        <v>62</v>
      </c>
      <c r="C20" s="6" t="s">
        <v>53</v>
      </c>
      <c r="D20" s="9" t="n">
        <v>0.04</v>
      </c>
      <c r="E20" s="6" t="s">
        <v>42</v>
      </c>
      <c r="F20" s="6" t="s">
        <v>24</v>
      </c>
    </row>
    <row r="21" customFormat="false" ht="15" hidden="false" customHeight="false" outlineLevel="0" collapsed="false">
      <c r="A21" s="6" t="s">
        <v>65</v>
      </c>
      <c r="B21" s="6" t="s">
        <v>62</v>
      </c>
      <c r="C21" s="6" t="s">
        <v>55</v>
      </c>
      <c r="D21" s="9" t="n">
        <v>0.25</v>
      </c>
      <c r="E21" s="6" t="s">
        <v>42</v>
      </c>
      <c r="F21" s="6" t="s">
        <v>24</v>
      </c>
    </row>
    <row r="22" customFormat="false" ht="15" hidden="false" customHeight="false" outlineLevel="0" collapsed="false">
      <c r="A22" s="6" t="s">
        <v>66</v>
      </c>
      <c r="B22" s="6" t="s">
        <v>67</v>
      </c>
      <c r="C22" s="6" t="s">
        <v>68</v>
      </c>
      <c r="D22" s="7" t="n">
        <v>0.5</v>
      </c>
      <c r="E22" s="6" t="s">
        <v>51</v>
      </c>
      <c r="F22" s="6" t="s">
        <v>24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s">
        <v>71</v>
      </c>
      <c r="D23" s="8" t="n">
        <v>350</v>
      </c>
      <c r="E23" s="6" t="s">
        <v>72</v>
      </c>
      <c r="F23" s="6" t="s">
        <v>24</v>
      </c>
    </row>
    <row r="24" customFormat="false" ht="15" hidden="false" customHeight="false" outlineLevel="0" collapsed="false">
      <c r="A24" s="6" t="s">
        <v>73</v>
      </c>
      <c r="B24" s="6" t="s">
        <v>70</v>
      </c>
      <c r="C24" s="6" t="s">
        <v>74</v>
      </c>
      <c r="D24" s="8" t="n">
        <v>60</v>
      </c>
      <c r="E24" s="6" t="s">
        <v>72</v>
      </c>
      <c r="F24" s="6" t="s">
        <v>24</v>
      </c>
    </row>
    <row r="25" customFormat="false" ht="15" hidden="false" customHeight="false" outlineLevel="0" collapsed="false">
      <c r="A25" s="6" t="s">
        <v>75</v>
      </c>
      <c r="B25" s="6" t="s">
        <v>70</v>
      </c>
      <c r="C25" s="6" t="s">
        <v>76</v>
      </c>
      <c r="D25" s="7" t="n">
        <v>1</v>
      </c>
      <c r="E25" s="6" t="s">
        <v>30</v>
      </c>
      <c r="F25" s="6" t="s">
        <v>24</v>
      </c>
    </row>
    <row r="26" customFormat="false" ht="15" hidden="false" customHeight="false" outlineLevel="0" collapsed="false">
      <c r="A26" s="6" t="s">
        <v>77</v>
      </c>
      <c r="B26" s="6" t="s">
        <v>70</v>
      </c>
      <c r="C26" s="6" t="s">
        <v>78</v>
      </c>
      <c r="D26" s="8" t="n">
        <v>0.25</v>
      </c>
      <c r="E26" s="6" t="s">
        <v>36</v>
      </c>
      <c r="F26" s="6" t="s">
        <v>24</v>
      </c>
    </row>
    <row r="27" customFormat="false" ht="15" hidden="false" customHeight="false" outlineLevel="0" collapsed="false">
      <c r="A27" s="6" t="s">
        <v>79</v>
      </c>
      <c r="B27" s="6" t="s">
        <v>70</v>
      </c>
      <c r="C27" s="6" t="s">
        <v>80</v>
      </c>
      <c r="D27" s="7" t="n">
        <v>250</v>
      </c>
      <c r="E27" s="6" t="s">
        <v>81</v>
      </c>
      <c r="F27" s="6" t="s">
        <v>24</v>
      </c>
    </row>
    <row r="28" customFormat="false" ht="15" hidden="false" customHeight="false" outlineLevel="0" collapsed="false">
      <c r="A28" s="6" t="s">
        <v>82</v>
      </c>
      <c r="B28" s="6" t="s">
        <v>70</v>
      </c>
      <c r="C28" s="6" t="s">
        <v>83</v>
      </c>
      <c r="D28" s="7" t="n">
        <v>130</v>
      </c>
      <c r="E28" s="6" t="s">
        <v>84</v>
      </c>
      <c r="F28" s="6" t="s">
        <v>24</v>
      </c>
    </row>
    <row r="29" customFormat="false" ht="15" hidden="false" customHeight="false" outlineLevel="0" collapsed="false">
      <c r="A29" s="6" t="s">
        <v>85</v>
      </c>
      <c r="B29" s="6" t="s">
        <v>70</v>
      </c>
      <c r="C29" s="6" t="s">
        <v>86</v>
      </c>
      <c r="D29" s="7" t="n">
        <v>2</v>
      </c>
      <c r="E29" s="6" t="s">
        <v>87</v>
      </c>
      <c r="F29" s="6" t="s">
        <v>24</v>
      </c>
    </row>
    <row r="30" customFormat="false" ht="15" hidden="false" customHeight="false" outlineLevel="0" collapsed="false">
      <c r="A30" s="6" t="s">
        <v>88</v>
      </c>
      <c r="B30" s="6" t="s">
        <v>70</v>
      </c>
      <c r="C30" s="6" t="s">
        <v>89</v>
      </c>
      <c r="D30" s="7" t="n">
        <v>1</v>
      </c>
      <c r="E30" s="6" t="s">
        <v>51</v>
      </c>
      <c r="F30" s="6" t="s">
        <v>24</v>
      </c>
    </row>
    <row r="31" customFormat="false" ht="15" hidden="false" customHeight="false" outlineLevel="0" collapsed="false">
      <c r="A31" s="6" t="s">
        <v>90</v>
      </c>
      <c r="B31" s="6" t="s">
        <v>70</v>
      </c>
      <c r="C31" s="6" t="s">
        <v>91</v>
      </c>
      <c r="D31" s="7" t="n">
        <v>1.25</v>
      </c>
      <c r="E31" s="6" t="s">
        <v>51</v>
      </c>
      <c r="F31" s="6" t="s">
        <v>24</v>
      </c>
    </row>
    <row r="32" customFormat="false" ht="15" hidden="false" customHeight="false" outlineLevel="0" collapsed="false">
      <c r="A32" s="6" t="s">
        <v>92</v>
      </c>
      <c r="B32" s="6" t="s">
        <v>70</v>
      </c>
      <c r="C32" s="6" t="s">
        <v>93</v>
      </c>
      <c r="D32" s="7" t="n">
        <v>2.6</v>
      </c>
      <c r="E32" s="6" t="s">
        <v>51</v>
      </c>
      <c r="F32" s="6" t="s">
        <v>24</v>
      </c>
    </row>
    <row r="33" customFormat="false" ht="15" hidden="false" customHeight="false" outlineLevel="0" collapsed="false">
      <c r="A33" s="6" t="s">
        <v>94</v>
      </c>
      <c r="B33" s="6" t="s">
        <v>95</v>
      </c>
      <c r="C33" s="6" t="s">
        <v>71</v>
      </c>
      <c r="D33" s="8" t="n">
        <v>350</v>
      </c>
      <c r="E33" s="6" t="s">
        <v>72</v>
      </c>
      <c r="F33" s="6" t="s">
        <v>24</v>
      </c>
    </row>
    <row r="34" customFormat="false" ht="15" hidden="false" customHeight="false" outlineLevel="0" collapsed="false">
      <c r="A34" s="6" t="s">
        <v>96</v>
      </c>
      <c r="B34" s="6" t="s">
        <v>95</v>
      </c>
      <c r="C34" s="6" t="s">
        <v>74</v>
      </c>
      <c r="D34" s="8" t="n">
        <v>105</v>
      </c>
      <c r="E34" s="6" t="s">
        <v>72</v>
      </c>
      <c r="F34" s="6" t="s">
        <v>24</v>
      </c>
    </row>
    <row r="35" customFormat="false" ht="15" hidden="false" customHeight="false" outlineLevel="0" collapsed="false">
      <c r="A35" s="6" t="s">
        <v>97</v>
      </c>
      <c r="B35" s="6" t="s">
        <v>95</v>
      </c>
      <c r="C35" s="6" t="s">
        <v>76</v>
      </c>
      <c r="D35" s="7" t="n">
        <v>1</v>
      </c>
      <c r="E35" s="6" t="s">
        <v>30</v>
      </c>
      <c r="F35" s="6" t="s">
        <v>24</v>
      </c>
    </row>
    <row r="36" customFormat="false" ht="15" hidden="false" customHeight="false" outlineLevel="0" collapsed="false">
      <c r="A36" s="6" t="s">
        <v>98</v>
      </c>
      <c r="B36" s="6" t="s">
        <v>95</v>
      </c>
      <c r="C36" s="6" t="s">
        <v>78</v>
      </c>
      <c r="D36" s="8" t="n">
        <v>0.08</v>
      </c>
      <c r="E36" s="6" t="s">
        <v>36</v>
      </c>
      <c r="F36" s="6" t="s">
        <v>24</v>
      </c>
    </row>
    <row r="37" customFormat="false" ht="15" hidden="false" customHeight="false" outlineLevel="0" collapsed="false">
      <c r="A37" s="6" t="s">
        <v>99</v>
      </c>
      <c r="B37" s="6" t="s">
        <v>95</v>
      </c>
      <c r="C37" s="6" t="s">
        <v>80</v>
      </c>
      <c r="D37" s="7" t="n">
        <v>40</v>
      </c>
      <c r="E37" s="6" t="s">
        <v>81</v>
      </c>
      <c r="F37" s="6" t="s">
        <v>24</v>
      </c>
    </row>
    <row r="38" customFormat="false" ht="15" hidden="false" customHeight="false" outlineLevel="0" collapsed="false">
      <c r="A38" s="6" t="s">
        <v>100</v>
      </c>
      <c r="B38" s="6" t="s">
        <v>95</v>
      </c>
      <c r="C38" s="6" t="s">
        <v>83</v>
      </c>
      <c r="D38" s="7" t="n">
        <v>130</v>
      </c>
      <c r="E38" s="6" t="s">
        <v>84</v>
      </c>
      <c r="F38" s="6" t="s">
        <v>24</v>
      </c>
    </row>
    <row r="39" customFormat="false" ht="15" hidden="false" customHeight="false" outlineLevel="0" collapsed="false">
      <c r="A39" s="6" t="s">
        <v>101</v>
      </c>
      <c r="B39" s="6" t="s">
        <v>95</v>
      </c>
      <c r="C39" s="6" t="s">
        <v>86</v>
      </c>
      <c r="D39" s="7" t="n">
        <v>2</v>
      </c>
      <c r="E39" s="6" t="s">
        <v>87</v>
      </c>
      <c r="F39" s="6" t="s">
        <v>24</v>
      </c>
    </row>
    <row r="40" customFormat="false" ht="15" hidden="false" customHeight="false" outlineLevel="0" collapsed="false">
      <c r="A40" s="6" t="s">
        <v>102</v>
      </c>
      <c r="B40" s="6" t="s">
        <v>95</v>
      </c>
      <c r="C40" s="6" t="s">
        <v>89</v>
      </c>
      <c r="D40" s="7" t="n">
        <v>1</v>
      </c>
      <c r="E40" s="6" t="s">
        <v>51</v>
      </c>
      <c r="F40" s="6" t="s">
        <v>24</v>
      </c>
    </row>
    <row r="41" customFormat="false" ht="15" hidden="false" customHeight="false" outlineLevel="0" collapsed="false">
      <c r="A41" s="6" t="s">
        <v>103</v>
      </c>
      <c r="B41" s="6" t="s">
        <v>95</v>
      </c>
      <c r="C41" s="6" t="s">
        <v>91</v>
      </c>
      <c r="D41" s="7" t="n">
        <v>1.25</v>
      </c>
      <c r="E41" s="6" t="s">
        <v>51</v>
      </c>
      <c r="F41" s="6" t="s">
        <v>24</v>
      </c>
    </row>
    <row r="42" customFormat="false" ht="15" hidden="false" customHeight="false" outlineLevel="0" collapsed="false">
      <c r="A42" s="6" t="s">
        <v>104</v>
      </c>
      <c r="B42" s="6" t="s">
        <v>95</v>
      </c>
      <c r="C42" s="6" t="s">
        <v>93</v>
      </c>
      <c r="D42" s="7" t="n">
        <v>2.6</v>
      </c>
      <c r="E42" s="6" t="s">
        <v>51</v>
      </c>
      <c r="F42" s="6" t="s">
        <v>24</v>
      </c>
    </row>
    <row r="43" customFormat="false" ht="15" hidden="false" customHeight="false" outlineLevel="0" collapsed="false">
      <c r="A43" s="6" t="s">
        <v>105</v>
      </c>
      <c r="B43" s="6" t="s">
        <v>106</v>
      </c>
      <c r="C43" s="6" t="s">
        <v>71</v>
      </c>
      <c r="D43" s="8" t="n">
        <v>300</v>
      </c>
      <c r="E43" s="6" t="s">
        <v>72</v>
      </c>
      <c r="F43" s="6" t="s">
        <v>24</v>
      </c>
    </row>
    <row r="44" customFormat="false" ht="15" hidden="false" customHeight="false" outlineLevel="0" collapsed="false">
      <c r="A44" s="6" t="s">
        <v>107</v>
      </c>
      <c r="B44" s="6" t="s">
        <v>106</v>
      </c>
      <c r="C44" s="6" t="s">
        <v>74</v>
      </c>
      <c r="D44" s="8" t="n">
        <v>180</v>
      </c>
      <c r="E44" s="6" t="s">
        <v>72</v>
      </c>
      <c r="F44" s="6" t="s">
        <v>24</v>
      </c>
    </row>
    <row r="45" customFormat="false" ht="15" hidden="false" customHeight="false" outlineLevel="0" collapsed="false">
      <c r="A45" s="6" t="s">
        <v>108</v>
      </c>
      <c r="B45" s="6" t="s">
        <v>106</v>
      </c>
      <c r="C45" s="6" t="s">
        <v>76</v>
      </c>
      <c r="D45" s="7" t="n">
        <v>2</v>
      </c>
      <c r="E45" s="6" t="s">
        <v>30</v>
      </c>
      <c r="F45" s="6" t="s">
        <v>24</v>
      </c>
    </row>
    <row r="46" customFormat="false" ht="15" hidden="false" customHeight="false" outlineLevel="0" collapsed="false">
      <c r="A46" s="6" t="s">
        <v>109</v>
      </c>
      <c r="B46" s="6" t="s">
        <v>106</v>
      </c>
      <c r="C46" s="6" t="s">
        <v>78</v>
      </c>
      <c r="D46" s="8" t="n">
        <v>0.03</v>
      </c>
      <c r="E46" s="6" t="s">
        <v>36</v>
      </c>
      <c r="F46" s="6" t="s">
        <v>24</v>
      </c>
    </row>
    <row r="47" customFormat="false" ht="15" hidden="false" customHeight="false" outlineLevel="0" collapsed="false">
      <c r="A47" s="6" t="s">
        <v>110</v>
      </c>
      <c r="B47" s="6" t="s">
        <v>106</v>
      </c>
      <c r="C47" s="6" t="s">
        <v>80</v>
      </c>
      <c r="D47" s="7" t="n">
        <v>5</v>
      </c>
      <c r="E47" s="6" t="s">
        <v>81</v>
      </c>
      <c r="F47" s="6" t="s">
        <v>24</v>
      </c>
    </row>
    <row r="48" customFormat="false" ht="15" hidden="false" customHeight="false" outlineLevel="0" collapsed="false">
      <c r="A48" s="6" t="s">
        <v>111</v>
      </c>
      <c r="B48" s="6" t="s">
        <v>106</v>
      </c>
      <c r="C48" s="6" t="s">
        <v>83</v>
      </c>
      <c r="D48" s="7" t="n">
        <v>360</v>
      </c>
      <c r="E48" s="6" t="s">
        <v>84</v>
      </c>
      <c r="F48" s="6" t="s">
        <v>24</v>
      </c>
    </row>
    <row r="49" customFormat="false" ht="15" hidden="false" customHeight="false" outlineLevel="0" collapsed="false">
      <c r="A49" s="6" t="s">
        <v>112</v>
      </c>
      <c r="B49" s="6" t="s">
        <v>106</v>
      </c>
      <c r="C49" s="6" t="s">
        <v>86</v>
      </c>
      <c r="D49" s="7" t="n">
        <v>1</v>
      </c>
      <c r="E49" s="6" t="s">
        <v>87</v>
      </c>
      <c r="F49" s="6" t="s">
        <v>24</v>
      </c>
    </row>
    <row r="50" customFormat="false" ht="15" hidden="false" customHeight="false" outlineLevel="0" collapsed="false">
      <c r="A50" s="6" t="s">
        <v>113</v>
      </c>
      <c r="B50" s="6" t="s">
        <v>106</v>
      </c>
      <c r="C50" s="6" t="s">
        <v>114</v>
      </c>
      <c r="D50" s="8" t="n">
        <v>0.15</v>
      </c>
      <c r="E50" s="6" t="s">
        <v>36</v>
      </c>
      <c r="F50" s="6" t="s">
        <v>24</v>
      </c>
    </row>
    <row r="51" customFormat="false" ht="15" hidden="false" customHeight="false" outlineLevel="0" collapsed="false">
      <c r="A51" s="6" t="s">
        <v>115</v>
      </c>
      <c r="B51" s="6" t="s">
        <v>106</v>
      </c>
      <c r="C51" s="6" t="s">
        <v>116</v>
      </c>
      <c r="D51" s="7" t="n">
        <v>40</v>
      </c>
      <c r="E51" s="6" t="s">
        <v>81</v>
      </c>
      <c r="F51" s="6" t="s">
        <v>24</v>
      </c>
    </row>
    <row r="52" customFormat="false" ht="15" hidden="false" customHeight="false" outlineLevel="0" collapsed="false">
      <c r="A52" s="6" t="s">
        <v>117</v>
      </c>
      <c r="B52" s="6" t="s">
        <v>106</v>
      </c>
      <c r="C52" s="6" t="s">
        <v>89</v>
      </c>
      <c r="D52" s="7" t="n">
        <v>1</v>
      </c>
      <c r="E52" s="6" t="s">
        <v>51</v>
      </c>
      <c r="F52" s="6" t="s">
        <v>24</v>
      </c>
    </row>
    <row r="53" customFormat="false" ht="15" hidden="false" customHeight="false" outlineLevel="0" collapsed="false">
      <c r="A53" s="6" t="s">
        <v>118</v>
      </c>
      <c r="B53" s="6" t="s">
        <v>106</v>
      </c>
      <c r="C53" s="6" t="s">
        <v>91</v>
      </c>
      <c r="D53" s="7" t="n">
        <v>1.8</v>
      </c>
      <c r="E53" s="6" t="s">
        <v>51</v>
      </c>
      <c r="F53" s="6" t="s">
        <v>24</v>
      </c>
    </row>
    <row r="54" customFormat="false" ht="15" hidden="false" customHeight="false" outlineLevel="0" collapsed="false">
      <c r="A54" s="6" t="s">
        <v>119</v>
      </c>
      <c r="B54" s="6" t="s">
        <v>106</v>
      </c>
      <c r="C54" s="6" t="s">
        <v>93</v>
      </c>
      <c r="D54" s="7" t="n">
        <v>5</v>
      </c>
      <c r="E54" s="6" t="s">
        <v>51</v>
      </c>
      <c r="F54" s="6" t="s">
        <v>24</v>
      </c>
    </row>
    <row r="55" customFormat="false" ht="15" hidden="false" customHeight="false" outlineLevel="0" collapsed="false">
      <c r="A55" s="6" t="s">
        <v>120</v>
      </c>
      <c r="B55" s="6" t="s">
        <v>106</v>
      </c>
      <c r="C55" s="6" t="s">
        <v>121</v>
      </c>
      <c r="D55" s="7" t="n">
        <v>1</v>
      </c>
      <c r="E55" s="6" t="s">
        <v>27</v>
      </c>
      <c r="F55" s="6" t="s">
        <v>24</v>
      </c>
    </row>
    <row r="56" customFormat="false" ht="15" hidden="false" customHeight="false" outlineLevel="0" collapsed="false">
      <c r="A56" s="6" t="s">
        <v>122</v>
      </c>
      <c r="B56" s="6" t="s">
        <v>123</v>
      </c>
      <c r="C56" s="6" t="s">
        <v>74</v>
      </c>
      <c r="D56" s="8" t="n">
        <v>60</v>
      </c>
      <c r="E56" s="6" t="s">
        <v>72</v>
      </c>
      <c r="F56" s="6" t="s">
        <v>24</v>
      </c>
    </row>
    <row r="57" customFormat="false" ht="15" hidden="false" customHeight="false" outlineLevel="0" collapsed="false">
      <c r="A57" s="6" t="s">
        <v>124</v>
      </c>
      <c r="B57" s="6" t="s">
        <v>123</v>
      </c>
      <c r="C57" s="6" t="s">
        <v>76</v>
      </c>
      <c r="D57" s="7" t="n">
        <v>0</v>
      </c>
      <c r="E57" s="6" t="s">
        <v>30</v>
      </c>
      <c r="F57" s="6" t="s">
        <v>24</v>
      </c>
    </row>
    <row r="58" customFormat="false" ht="15" hidden="false" customHeight="false" outlineLevel="0" collapsed="false">
      <c r="A58" s="6" t="s">
        <v>125</v>
      </c>
      <c r="B58" s="6" t="s">
        <v>123</v>
      </c>
      <c r="C58" s="6" t="s">
        <v>78</v>
      </c>
      <c r="D58" s="8" t="n">
        <v>0.05</v>
      </c>
      <c r="E58" s="6" t="s">
        <v>36</v>
      </c>
      <c r="F58" s="6" t="s">
        <v>24</v>
      </c>
    </row>
    <row r="59" customFormat="false" ht="15" hidden="false" customHeight="false" outlineLevel="0" collapsed="false">
      <c r="A59" s="6" t="s">
        <v>126</v>
      </c>
      <c r="B59" s="6" t="s">
        <v>123</v>
      </c>
      <c r="C59" s="6" t="s">
        <v>80</v>
      </c>
      <c r="D59" s="7" t="n">
        <v>0</v>
      </c>
      <c r="E59" s="6" t="s">
        <v>81</v>
      </c>
      <c r="F59" s="6" t="s">
        <v>24</v>
      </c>
    </row>
    <row r="60" customFormat="false" ht="15" hidden="false" customHeight="false" outlineLevel="0" collapsed="false">
      <c r="A60" s="6" t="s">
        <v>127</v>
      </c>
      <c r="B60" s="6" t="s">
        <v>123</v>
      </c>
      <c r="C60" s="6" t="s">
        <v>128</v>
      </c>
      <c r="D60" s="9" t="n">
        <v>0.4</v>
      </c>
      <c r="E60" s="6" t="s">
        <v>42</v>
      </c>
      <c r="F60" s="6" t="s">
        <v>24</v>
      </c>
    </row>
    <row r="61" customFormat="false" ht="15" hidden="false" customHeight="false" outlineLevel="0" collapsed="false">
      <c r="A61" s="6" t="s">
        <v>129</v>
      </c>
      <c r="B61" s="6" t="s">
        <v>123</v>
      </c>
      <c r="C61" s="6" t="s">
        <v>130</v>
      </c>
      <c r="D61" s="9" t="n">
        <v>0.005</v>
      </c>
      <c r="E61" s="6" t="s">
        <v>42</v>
      </c>
      <c r="F61" s="6" t="s">
        <v>24</v>
      </c>
    </row>
    <row r="62" customFormat="false" ht="15" hidden="false" customHeight="false" outlineLevel="0" collapsed="false">
      <c r="A62" s="6" t="s">
        <v>131</v>
      </c>
      <c r="B62" s="6" t="s">
        <v>123</v>
      </c>
      <c r="C62" s="6" t="s">
        <v>114</v>
      </c>
      <c r="D62" s="8" t="n">
        <v>0.25</v>
      </c>
      <c r="E62" s="6" t="s">
        <v>36</v>
      </c>
      <c r="F62" s="6" t="s">
        <v>24</v>
      </c>
    </row>
    <row r="63" customFormat="false" ht="15" hidden="false" customHeight="false" outlineLevel="0" collapsed="false">
      <c r="A63" s="6" t="s">
        <v>132</v>
      </c>
      <c r="B63" s="6" t="s">
        <v>123</v>
      </c>
      <c r="C63" s="6" t="s">
        <v>116</v>
      </c>
      <c r="D63" s="7" t="n">
        <v>30</v>
      </c>
      <c r="E63" s="6" t="s">
        <v>81</v>
      </c>
      <c r="F63" s="6" t="s">
        <v>24</v>
      </c>
    </row>
    <row r="64" customFormat="false" ht="15" hidden="false" customHeight="false" outlineLevel="0" collapsed="false">
      <c r="A64" s="6" t="s">
        <v>133</v>
      </c>
      <c r="B64" s="6" t="s">
        <v>123</v>
      </c>
      <c r="C64" s="6" t="s">
        <v>121</v>
      </c>
      <c r="D64" s="7" t="n">
        <v>1</v>
      </c>
      <c r="E64" s="6" t="s">
        <v>27</v>
      </c>
      <c r="F64" s="6" t="s">
        <v>24</v>
      </c>
    </row>
    <row r="65" customFormat="false" ht="15" hidden="false" customHeight="false" outlineLevel="0" collapsed="false">
      <c r="A65" s="6" t="s">
        <v>134</v>
      </c>
      <c r="B65" s="6" t="s">
        <v>135</v>
      </c>
      <c r="C65" s="6" t="s">
        <v>136</v>
      </c>
      <c r="D65" s="8" t="n">
        <v>100</v>
      </c>
      <c r="E65" s="6" t="s">
        <v>72</v>
      </c>
      <c r="F65" s="6" t="s">
        <v>24</v>
      </c>
    </row>
    <row r="66" customFormat="false" ht="15" hidden="false" customHeight="false" outlineLevel="0" collapsed="false">
      <c r="A66" s="6" t="s">
        <v>137</v>
      </c>
      <c r="B66" s="6" t="s">
        <v>135</v>
      </c>
      <c r="C66" s="6" t="s">
        <v>78</v>
      </c>
      <c r="D66" s="8" t="n">
        <v>4.2</v>
      </c>
      <c r="E66" s="6" t="s">
        <v>36</v>
      </c>
      <c r="F66" s="6" t="s">
        <v>24</v>
      </c>
    </row>
    <row r="67" customFormat="false" ht="15" hidden="false" customHeight="false" outlineLevel="0" collapsed="false">
      <c r="A67" s="6" t="s">
        <v>138</v>
      </c>
      <c r="B67" s="6" t="s">
        <v>135</v>
      </c>
      <c r="C67" s="6" t="s">
        <v>80</v>
      </c>
      <c r="D67" s="7" t="n">
        <v>120</v>
      </c>
      <c r="E67" s="6" t="s">
        <v>81</v>
      </c>
      <c r="F67" s="6" t="s">
        <v>24</v>
      </c>
    </row>
    <row r="68" customFormat="false" ht="35.05" hidden="false" customHeight="false" outlineLevel="0" collapsed="false">
      <c r="A68" s="6" t="s">
        <v>139</v>
      </c>
      <c r="B68" s="6" t="s">
        <v>135</v>
      </c>
      <c r="C68" s="6" t="s">
        <v>140</v>
      </c>
      <c r="D68" s="9" t="n">
        <v>0.85</v>
      </c>
      <c r="E68" s="6" t="s">
        <v>42</v>
      </c>
      <c r="F68" s="6" t="s">
        <v>141</v>
      </c>
    </row>
    <row r="69" customFormat="false" ht="15" hidden="false" customHeight="false" outlineLevel="0" collapsed="false">
      <c r="A69" s="6" t="s">
        <v>142</v>
      </c>
      <c r="B69" s="6" t="s">
        <v>135</v>
      </c>
      <c r="C69" s="6" t="s">
        <v>130</v>
      </c>
      <c r="D69" s="9" t="n">
        <v>0.02</v>
      </c>
      <c r="E69" s="6" t="s">
        <v>42</v>
      </c>
      <c r="F69" s="6" t="s">
        <v>24</v>
      </c>
    </row>
    <row r="70" customFormat="false" ht="15" hidden="false" customHeight="false" outlineLevel="0" collapsed="false">
      <c r="A70" s="6" t="s">
        <v>143</v>
      </c>
      <c r="B70" s="6" t="s">
        <v>135</v>
      </c>
      <c r="C70" s="6" t="s">
        <v>144</v>
      </c>
      <c r="D70" s="9" t="n">
        <v>1</v>
      </c>
      <c r="E70" s="6" t="s">
        <v>42</v>
      </c>
      <c r="F70" s="6" t="s">
        <v>24</v>
      </c>
    </row>
    <row r="71" customFormat="false" ht="15" hidden="false" customHeight="false" outlineLevel="0" collapsed="false">
      <c r="A71" s="6" t="s">
        <v>145</v>
      </c>
      <c r="B71" s="6" t="s">
        <v>146</v>
      </c>
      <c r="C71" s="6" t="s">
        <v>78</v>
      </c>
      <c r="D71" s="8" t="n">
        <v>5.5</v>
      </c>
      <c r="E71" s="6" t="s">
        <v>36</v>
      </c>
      <c r="F71" s="6" t="s">
        <v>24</v>
      </c>
    </row>
    <row r="72" customFormat="false" ht="15" hidden="false" customHeight="false" outlineLevel="0" collapsed="false">
      <c r="A72" s="6" t="s">
        <v>147</v>
      </c>
      <c r="B72" s="6" t="s">
        <v>146</v>
      </c>
      <c r="C72" s="6" t="s">
        <v>80</v>
      </c>
      <c r="D72" s="7" t="n">
        <v>300</v>
      </c>
      <c r="E72" s="6" t="s">
        <v>81</v>
      </c>
      <c r="F72" s="6" t="s">
        <v>24</v>
      </c>
    </row>
    <row r="73" customFormat="false" ht="15" hidden="false" customHeight="false" outlineLevel="0" collapsed="false">
      <c r="A73" s="6" t="s">
        <v>148</v>
      </c>
      <c r="B73" s="6" t="s">
        <v>146</v>
      </c>
      <c r="C73" s="6" t="s">
        <v>83</v>
      </c>
      <c r="D73" s="7" t="n">
        <v>150</v>
      </c>
      <c r="E73" s="6" t="s">
        <v>84</v>
      </c>
      <c r="F73" s="6" t="s">
        <v>24</v>
      </c>
    </row>
    <row r="74" customFormat="false" ht="15" hidden="false" customHeight="false" outlineLevel="0" collapsed="false">
      <c r="A74" s="6" t="s">
        <v>149</v>
      </c>
      <c r="B74" s="6" t="s">
        <v>146</v>
      </c>
      <c r="C74" s="6" t="s">
        <v>86</v>
      </c>
      <c r="D74" s="7" t="n">
        <v>2</v>
      </c>
      <c r="E74" s="6" t="s">
        <v>87</v>
      </c>
      <c r="F74" s="6" t="s">
        <v>24</v>
      </c>
    </row>
    <row r="75" customFormat="false" ht="15" hidden="false" customHeight="false" outlineLevel="0" collapsed="false">
      <c r="A75" s="6" t="s">
        <v>150</v>
      </c>
      <c r="B75" s="6" t="s">
        <v>146</v>
      </c>
      <c r="C75" s="6" t="s">
        <v>130</v>
      </c>
      <c r="D75" s="9" t="n">
        <v>0.08</v>
      </c>
      <c r="E75" s="6" t="s">
        <v>42</v>
      </c>
      <c r="F75" s="6" t="s">
        <v>24</v>
      </c>
    </row>
    <row r="76" customFormat="false" ht="15" hidden="false" customHeight="false" outlineLevel="0" collapsed="false">
      <c r="A76" s="6" t="s">
        <v>151</v>
      </c>
      <c r="B76" s="6" t="s">
        <v>152</v>
      </c>
      <c r="C76" s="6" t="s">
        <v>78</v>
      </c>
      <c r="D76" s="8" t="n">
        <v>9</v>
      </c>
      <c r="E76" s="6" t="s">
        <v>36</v>
      </c>
      <c r="F76" s="6" t="s">
        <v>24</v>
      </c>
    </row>
    <row r="77" customFormat="false" ht="15" hidden="false" customHeight="false" outlineLevel="0" collapsed="false">
      <c r="A77" s="6" t="s">
        <v>153</v>
      </c>
      <c r="B77" s="6" t="s">
        <v>152</v>
      </c>
      <c r="C77" s="6" t="s">
        <v>80</v>
      </c>
      <c r="D77" s="7" t="n">
        <v>450</v>
      </c>
      <c r="E77" s="6" t="s">
        <v>81</v>
      </c>
      <c r="F77" s="6" t="s">
        <v>24</v>
      </c>
    </row>
    <row r="78" customFormat="false" ht="15" hidden="false" customHeight="false" outlineLevel="0" collapsed="false">
      <c r="A78" s="6" t="s">
        <v>154</v>
      </c>
      <c r="B78" s="6" t="s">
        <v>152</v>
      </c>
      <c r="C78" s="6" t="s">
        <v>130</v>
      </c>
      <c r="D78" s="9" t="n">
        <v>0.05</v>
      </c>
      <c r="E78" s="6" t="s">
        <v>42</v>
      </c>
      <c r="F78" s="6" t="s">
        <v>24</v>
      </c>
    </row>
    <row r="79" customFormat="false" ht="15" hidden="false" customHeight="false" outlineLevel="0" collapsed="false">
      <c r="A79" s="6" t="s">
        <v>155</v>
      </c>
      <c r="B79" s="6" t="s">
        <v>156</v>
      </c>
      <c r="C79" s="6" t="s">
        <v>157</v>
      </c>
      <c r="D79" s="9" t="n">
        <v>0.02</v>
      </c>
      <c r="E79" s="6" t="s">
        <v>42</v>
      </c>
      <c r="F79" s="6" t="s">
        <v>24</v>
      </c>
    </row>
    <row r="80" customFormat="false" ht="23.85" hidden="false" customHeight="false" outlineLevel="0" collapsed="false">
      <c r="A80" s="6" t="s">
        <v>158</v>
      </c>
      <c r="B80" s="6" t="s">
        <v>156</v>
      </c>
      <c r="C80" s="6" t="s">
        <v>159</v>
      </c>
      <c r="D80" s="7" t="n">
        <v>0.5</v>
      </c>
      <c r="E80" s="6" t="s">
        <v>51</v>
      </c>
      <c r="F80" s="6" t="s">
        <v>24</v>
      </c>
    </row>
    <row r="81" customFormat="false" ht="15" hidden="false" customHeight="false" outlineLevel="0" collapsed="false">
      <c r="A81" s="6" t="s">
        <v>160</v>
      </c>
      <c r="B81" s="6" t="s">
        <v>161</v>
      </c>
      <c r="C81" s="6" t="s">
        <v>162</v>
      </c>
      <c r="D81" s="7" t="n">
        <v>2</v>
      </c>
      <c r="E81" s="6" t="s">
        <v>27</v>
      </c>
      <c r="F81" s="6" t="s">
        <v>24</v>
      </c>
    </row>
    <row r="82" customFormat="false" ht="15" hidden="false" customHeight="false" outlineLevel="0" collapsed="false">
      <c r="A82" s="6" t="s">
        <v>163</v>
      </c>
      <c r="B82" s="6" t="s">
        <v>164</v>
      </c>
      <c r="C82" s="6" t="s">
        <v>162</v>
      </c>
      <c r="D82" s="7" t="n">
        <v>1</v>
      </c>
      <c r="E82" s="6" t="s">
        <v>27</v>
      </c>
      <c r="F82" s="6" t="s">
        <v>24</v>
      </c>
    </row>
    <row r="83" customFormat="false" ht="15" hidden="false" customHeight="false" outlineLevel="0" collapsed="false">
      <c r="A83" s="6" t="s">
        <v>165</v>
      </c>
      <c r="B83" s="6" t="s">
        <v>164</v>
      </c>
      <c r="C83" s="6" t="s">
        <v>166</v>
      </c>
      <c r="D83" s="7" t="n">
        <v>1.4</v>
      </c>
      <c r="E83" s="6" t="s">
        <v>51</v>
      </c>
      <c r="F83" s="6" t="s">
        <v>24</v>
      </c>
    </row>
    <row r="84" customFormat="false" ht="15" hidden="false" customHeight="false" outlineLevel="0" collapsed="false">
      <c r="A84" s="6" t="s">
        <v>167</v>
      </c>
      <c r="B84" s="6" t="s">
        <v>168</v>
      </c>
      <c r="C84" s="6" t="s">
        <v>162</v>
      </c>
      <c r="D84" s="7" t="n">
        <v>1</v>
      </c>
      <c r="E84" s="6" t="s">
        <v>27</v>
      </c>
      <c r="F84" s="6" t="s">
        <v>24</v>
      </c>
    </row>
    <row r="85" customFormat="false" ht="35.05" hidden="false" customHeight="false" outlineLevel="0" collapsed="false">
      <c r="A85" s="6" t="s">
        <v>169</v>
      </c>
      <c r="B85" s="6" t="s">
        <v>168</v>
      </c>
      <c r="C85" s="6" t="s">
        <v>170</v>
      </c>
      <c r="D85" s="8" t="n">
        <v>0.6</v>
      </c>
      <c r="E85" s="6" t="s">
        <v>171</v>
      </c>
      <c r="F85" s="6" t="s">
        <v>141</v>
      </c>
    </row>
    <row r="86" customFormat="false" ht="15" hidden="false" customHeight="false" outlineLevel="0" collapsed="false">
      <c r="A86" s="6" t="s">
        <v>172</v>
      </c>
      <c r="B86" s="6" t="s">
        <v>173</v>
      </c>
      <c r="C86" s="6" t="s">
        <v>162</v>
      </c>
      <c r="D86" s="7" t="n">
        <v>1</v>
      </c>
      <c r="E86" s="6" t="s">
        <v>27</v>
      </c>
      <c r="F86" s="6" t="s">
        <v>24</v>
      </c>
    </row>
    <row r="87" customFormat="false" ht="15" hidden="false" customHeight="false" outlineLevel="0" collapsed="false">
      <c r="A87" s="6" t="s">
        <v>174</v>
      </c>
      <c r="B87" s="6" t="s">
        <v>173</v>
      </c>
      <c r="C87" s="6" t="s">
        <v>175</v>
      </c>
      <c r="D87" s="9" t="n">
        <v>0.6</v>
      </c>
      <c r="E87" s="6" t="s">
        <v>42</v>
      </c>
      <c r="F87" s="6" t="s">
        <v>24</v>
      </c>
    </row>
    <row r="88" customFormat="false" ht="15" hidden="false" customHeight="false" outlineLevel="0" collapsed="false">
      <c r="A88" s="6" t="s">
        <v>176</v>
      </c>
      <c r="B88" s="6" t="s">
        <v>177</v>
      </c>
      <c r="C88" s="6" t="s">
        <v>178</v>
      </c>
      <c r="D88" s="7" t="n">
        <v>0.7</v>
      </c>
      <c r="E88" s="6" t="s">
        <v>51</v>
      </c>
      <c r="F88" s="6" t="s">
        <v>24</v>
      </c>
    </row>
    <row r="89" customFormat="false" ht="15" hidden="false" customHeight="false" outlineLevel="0" collapsed="false">
      <c r="A89" s="6" t="s">
        <v>179</v>
      </c>
      <c r="B89" s="6" t="s">
        <v>177</v>
      </c>
      <c r="C89" s="6" t="s">
        <v>180</v>
      </c>
      <c r="D89" s="7" t="n">
        <v>1</v>
      </c>
      <c r="E89" s="6" t="s">
        <v>27</v>
      </c>
      <c r="F89" s="6" t="s">
        <v>24</v>
      </c>
    </row>
    <row r="90" customFormat="false" ht="15" hidden="false" customHeight="false" outlineLevel="0" collapsed="false">
      <c r="A90" s="6" t="s">
        <v>181</v>
      </c>
      <c r="B90" s="6" t="s">
        <v>182</v>
      </c>
      <c r="C90" s="6" t="s">
        <v>183</v>
      </c>
      <c r="D90" s="7" t="n">
        <v>1.8</v>
      </c>
      <c r="E90" s="6" t="s">
        <v>51</v>
      </c>
      <c r="F90" s="6" t="s">
        <v>24</v>
      </c>
    </row>
    <row r="91" customFormat="false" ht="15" hidden="false" customHeight="false" outlineLevel="0" collapsed="false">
      <c r="A91" s="6" t="s">
        <v>184</v>
      </c>
      <c r="B91" s="6" t="s">
        <v>182</v>
      </c>
      <c r="C91" s="6" t="s">
        <v>185</v>
      </c>
      <c r="D91" s="8" t="n">
        <v>1</v>
      </c>
      <c r="E91" s="6" t="s">
        <v>36</v>
      </c>
      <c r="F91" s="6" t="s">
        <v>24</v>
      </c>
    </row>
    <row r="92" customFormat="false" ht="15" hidden="false" customHeight="false" outlineLevel="0" collapsed="false">
      <c r="A92" s="6" t="s">
        <v>186</v>
      </c>
      <c r="B92" s="6" t="s">
        <v>182</v>
      </c>
      <c r="C92" s="6" t="s">
        <v>180</v>
      </c>
      <c r="D92" s="7" t="n">
        <v>2</v>
      </c>
      <c r="E92" s="6" t="s">
        <v>27</v>
      </c>
      <c r="F92" s="6" t="s">
        <v>24</v>
      </c>
    </row>
    <row r="93" customFormat="false" ht="15" hidden="false" customHeight="false" outlineLevel="0" collapsed="false">
      <c r="A93" s="6" t="s">
        <v>187</v>
      </c>
      <c r="B93" s="6" t="s">
        <v>188</v>
      </c>
      <c r="C93" s="6" t="s">
        <v>178</v>
      </c>
      <c r="D93" s="7" t="n">
        <v>0.85</v>
      </c>
      <c r="E93" s="6" t="s">
        <v>51</v>
      </c>
      <c r="F93" s="6" t="s">
        <v>24</v>
      </c>
    </row>
    <row r="94" customFormat="false" ht="15" hidden="false" customHeight="false" outlineLevel="0" collapsed="false">
      <c r="A94" s="6" t="s">
        <v>189</v>
      </c>
      <c r="B94" s="6" t="s">
        <v>188</v>
      </c>
      <c r="C94" s="6" t="s">
        <v>190</v>
      </c>
      <c r="D94" s="9" t="n">
        <v>0.05</v>
      </c>
      <c r="E94" s="6" t="s">
        <v>42</v>
      </c>
      <c r="F94" s="6" t="s">
        <v>24</v>
      </c>
    </row>
    <row r="95" customFormat="false" ht="15" hidden="false" customHeight="false" outlineLevel="0" collapsed="false">
      <c r="A95" s="6" t="s">
        <v>191</v>
      </c>
      <c r="B95" s="6" t="s">
        <v>192</v>
      </c>
      <c r="C95" s="6" t="s">
        <v>193</v>
      </c>
      <c r="D95" s="7" t="n">
        <v>1.3</v>
      </c>
      <c r="E95" s="6" t="s">
        <v>51</v>
      </c>
      <c r="F95" s="6" t="s">
        <v>24</v>
      </c>
    </row>
    <row r="96" customFormat="false" ht="15" hidden="false" customHeight="false" outlineLevel="0" collapsed="false">
      <c r="A96" s="6" t="s">
        <v>194</v>
      </c>
      <c r="B96" s="6" t="s">
        <v>192</v>
      </c>
      <c r="C96" s="6" t="s">
        <v>180</v>
      </c>
      <c r="D96" s="7" t="n">
        <v>1</v>
      </c>
      <c r="E96" s="6" t="s">
        <v>27</v>
      </c>
      <c r="F96" s="6" t="s">
        <v>24</v>
      </c>
    </row>
    <row r="97" customFormat="false" ht="15" hidden="false" customHeight="false" outlineLevel="0" collapsed="false">
      <c r="A97" s="6" t="s">
        <v>195</v>
      </c>
      <c r="B97" s="6" t="s">
        <v>196</v>
      </c>
      <c r="C97" s="6" t="s">
        <v>197</v>
      </c>
      <c r="D97" s="7" t="n">
        <v>2</v>
      </c>
      <c r="E97" s="6" t="s">
        <v>30</v>
      </c>
      <c r="F97" s="6" t="s">
        <v>24</v>
      </c>
    </row>
    <row r="98" customFormat="false" ht="15" hidden="false" customHeight="false" outlineLevel="0" collapsed="false">
      <c r="A98" s="6" t="s">
        <v>198</v>
      </c>
      <c r="B98" s="6" t="s">
        <v>196</v>
      </c>
      <c r="C98" s="6" t="s">
        <v>199</v>
      </c>
      <c r="D98" s="7" t="n">
        <v>1</v>
      </c>
      <c r="E98" s="6" t="s">
        <v>30</v>
      </c>
      <c r="F98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0" t="s">
        <v>200</v>
      </c>
    </row>
    <row r="2" customFormat="false" ht="15" hidden="false" customHeight="false" outlineLevel="0" collapsed="false">
      <c r="A2" s="11" t="s">
        <v>201</v>
      </c>
    </row>
    <row r="4" customFormat="false" ht="35.05" hidden="false" customHeight="false" outlineLevel="0" collapsed="false">
      <c r="A4" s="4" t="s">
        <v>202</v>
      </c>
      <c r="B4" s="4" t="s">
        <v>87</v>
      </c>
      <c r="C4" s="4" t="s">
        <v>48</v>
      </c>
      <c r="D4" s="4" t="s">
        <v>203</v>
      </c>
      <c r="E4" s="4" t="s">
        <v>204</v>
      </c>
      <c r="F4" s="4" t="s">
        <v>205</v>
      </c>
      <c r="G4" s="4" t="s">
        <v>206</v>
      </c>
      <c r="H4" s="4" t="s">
        <v>207</v>
      </c>
      <c r="I4" s="4" t="s">
        <v>208</v>
      </c>
    </row>
    <row r="5" customFormat="false" ht="15" hidden="false" customHeight="false" outlineLevel="0" collapsed="false">
      <c r="A5" s="0" t="s">
        <v>209</v>
      </c>
      <c r="B5" s="12" t="n">
        <v>7</v>
      </c>
      <c r="C5" s="13" t="n">
        <f aca="false">B5*Parameter!$D$10</f>
        <v>490</v>
      </c>
      <c r="D5" s="12" t="n">
        <v>4</v>
      </c>
      <c r="E5" s="14" t="n">
        <f aca="false">D5*(Parameter!$D$24+Parameter!$D$23)</f>
        <v>1640</v>
      </c>
      <c r="F5" s="14" t="n">
        <f aca="false">C5*Parameter!$D$26*Parameter!$D$11*(1+Parameter!$D$12)</f>
        <v>137.2</v>
      </c>
      <c r="G5" s="15" t="n">
        <f aca="false">(E5+F5)/C5</f>
        <v>3.6269387755102</v>
      </c>
      <c r="H5" s="16" t="n">
        <v>3.63</v>
      </c>
      <c r="I5" s="14" t="n">
        <f aca="false">C5*Parameter!$D$30*(1+Parameter!$D$12)</f>
        <v>548.8</v>
      </c>
    </row>
    <row r="6" customFormat="false" ht="15" hidden="false" customHeight="false" outlineLevel="0" collapsed="false">
      <c r="A6" s="0" t="s">
        <v>210</v>
      </c>
      <c r="B6" s="12" t="n">
        <v>11</v>
      </c>
      <c r="C6" s="13" t="n">
        <f aca="false">B6*Parameter!$D$14</f>
        <v>330</v>
      </c>
      <c r="D6" s="12" t="n">
        <v>4</v>
      </c>
      <c r="E6" s="14" t="n">
        <f aca="false">D6*(Parameter!$D$24+Parameter!$D$23)</f>
        <v>1640</v>
      </c>
      <c r="F6" s="14" t="n">
        <f aca="false">C6*Parameter!$D$26*Parameter!$D$15*(1+Parameter!$D$16)</f>
        <v>122.43</v>
      </c>
      <c r="G6" s="15" t="n">
        <f aca="false">(E6+F6)/C6</f>
        <v>5.34069696969697</v>
      </c>
      <c r="H6" s="16" t="n">
        <v>5.34</v>
      </c>
      <c r="I6" s="14" t="n">
        <f aca="false">C6*Parameter!$D$31*(1+Parameter!$D$16)</f>
        <v>437.25</v>
      </c>
    </row>
    <row r="7" customFormat="false" ht="15" hidden="false" customHeight="false" outlineLevel="0" collapsed="false">
      <c r="A7" s="0" t="s">
        <v>211</v>
      </c>
      <c r="B7" s="12" t="n">
        <v>15</v>
      </c>
      <c r="C7" s="13" t="n">
        <f aca="false">B7*Parameter!$D$18</f>
        <v>120</v>
      </c>
      <c r="D7" s="12" t="n">
        <v>3</v>
      </c>
      <c r="E7" s="14" t="n">
        <f aca="false">D7*(Parameter!$D$24+Parameter!$D$23)</f>
        <v>1230</v>
      </c>
      <c r="F7" s="14" t="n">
        <f aca="false">C7*Parameter!$D$26*Parameter!$D$19*(1+Parameter!$D$20)</f>
        <v>93.6</v>
      </c>
      <c r="G7" s="15" t="n">
        <f aca="false">(E7+F7)/C7</f>
        <v>11.03</v>
      </c>
      <c r="H7" s="16" t="n">
        <v>11.03</v>
      </c>
      <c r="I7" s="14" t="n">
        <f aca="false">C7*Parameter!$D$32*(1+Parameter!$D$20)</f>
        <v>324.48</v>
      </c>
    </row>
    <row r="8" customFormat="false" ht="15" hidden="false" customHeight="false" outlineLevel="0" collapsed="false">
      <c r="A8" s="11" t="s">
        <v>212</v>
      </c>
      <c r="B8" s="13" t="n">
        <f aca="false">SUM(B5:B7)</f>
        <v>33</v>
      </c>
      <c r="C8" s="13" t="n">
        <f aca="false">SUM(C5:C7)</f>
        <v>940</v>
      </c>
      <c r="D8" s="13" t="n">
        <f aca="false">SUM(D5:D7)</f>
        <v>11</v>
      </c>
      <c r="E8" s="14" t="n">
        <f aca="false">SUM(E5:E7)</f>
        <v>4510</v>
      </c>
      <c r="F8" s="14" t="n">
        <f aca="false">SUM(F5:F7)</f>
        <v>353.23</v>
      </c>
      <c r="G8" s="15" t="n">
        <f aca="false">(E8+F8)/C8</f>
        <v>5.17364893617021</v>
      </c>
      <c r="H8" s="15"/>
      <c r="I8" s="14" t="n">
        <f aca="false">SUM(I5:I7)</f>
        <v>1310.53</v>
      </c>
    </row>
    <row r="10" customFormat="false" ht="15" hidden="false" customHeight="false" outlineLevel="0" collapsed="false">
      <c r="A10" s="0" t="s">
        <v>213</v>
      </c>
      <c r="G10" s="14" t="n">
        <f aca="false">D8*Parameter!$D$28</f>
        <v>1430</v>
      </c>
    </row>
    <row r="11" customFormat="false" ht="15" hidden="false" customHeight="false" outlineLevel="0" collapsed="false">
      <c r="A11" s="0" t="s">
        <v>214</v>
      </c>
      <c r="G11" s="17" t="n">
        <f aca="false">I8/G10</f>
        <v>0.916454545454546</v>
      </c>
    </row>
    <row r="12" customFormat="false" ht="15" hidden="false" customHeight="false" outlineLevel="0" collapsed="false">
      <c r="A12" s="0" t="s">
        <v>215</v>
      </c>
      <c r="G12" s="17" t="n">
        <f aca="false">G8/(G8+Parameter!$D$6)</f>
        <v>0.484712301023698</v>
      </c>
    </row>
    <row r="13" customFormat="false" ht="15" hidden="false" customHeight="false" outlineLevel="0" collapsed="false">
      <c r="A13" s="0" t="s">
        <v>216</v>
      </c>
      <c r="G13" s="18" t="n">
        <f aca="false">Parameter!$D$7</f>
        <v>5.6</v>
      </c>
    </row>
    <row r="14" customFormat="false" ht="15" hidden="false" customHeight="false" outlineLevel="0" collapsed="false">
      <c r="A14" s="0" t="s">
        <v>217</v>
      </c>
      <c r="G14" s="15" t="n">
        <f aca="false">G13-G8</f>
        <v>0.426351063829787</v>
      </c>
    </row>
    <row r="16" customFormat="false" ht="55.2" hidden="false" customHeight="false" outlineLevel="0" collapsed="false">
      <c r="A16" s="1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3" min="11" style="0" width="10"/>
    <col collapsed="false" customWidth="true" hidden="false" outlineLevel="0" max="15" min="14" style="0" width="11"/>
  </cols>
  <sheetData>
    <row r="1" customFormat="false" ht="15" hidden="false" customHeight="false" outlineLevel="0" collapsed="false">
      <c r="A1" s="20" t="s">
        <v>219</v>
      </c>
    </row>
    <row r="3" customFormat="false" ht="35.05" hidden="false" customHeight="false" outlineLevel="0" collapsed="false">
      <c r="A3" s="4" t="s">
        <v>12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  <c r="I3" s="4" t="s">
        <v>227</v>
      </c>
      <c r="J3" s="4" t="s">
        <v>228</v>
      </c>
      <c r="K3" s="4" t="s">
        <v>229</v>
      </c>
      <c r="L3" s="4" t="s">
        <v>230</v>
      </c>
      <c r="M3" s="4" t="s">
        <v>231</v>
      </c>
      <c r="N3" s="4" t="s">
        <v>232</v>
      </c>
      <c r="O3" s="4" t="s">
        <v>233</v>
      </c>
    </row>
    <row r="4" customFormat="false" ht="15" hidden="false" customHeight="false" outlineLevel="0" collapsed="false">
      <c r="A4" s="21" t="s">
        <v>234</v>
      </c>
      <c r="B4" s="21" t="s">
        <v>235</v>
      </c>
      <c r="C4" s="22" t="n">
        <v>7.44974976246297</v>
      </c>
      <c r="D4" s="23" t="n">
        <v>0.665979348890407</v>
      </c>
      <c r="E4" s="24" t="n">
        <v>424.932433091346</v>
      </c>
      <c r="F4" s="23" t="n">
        <v>0.0700366756598641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0.430627746805409</v>
      </c>
      <c r="L4" s="23" t="n">
        <v>0.917969223625622</v>
      </c>
      <c r="M4" s="23" t="n">
        <v>0.937060240291623</v>
      </c>
      <c r="N4" s="23" t="n">
        <v>0.574634148760505</v>
      </c>
      <c r="O4" s="21" t="str">
        <f aca="false">IF(G4&gt;=0.5,"trägt",IF(G4&gt;0,"selten","scheitert"))</f>
        <v>scheitert</v>
      </c>
    </row>
    <row r="5" customFormat="false" ht="15" hidden="false" customHeight="false" outlineLevel="0" collapsed="false">
      <c r="A5" s="21" t="s">
        <v>236</v>
      </c>
      <c r="B5" s="21" t="s">
        <v>237</v>
      </c>
      <c r="C5" s="22" t="n">
        <v>5.81579094206957</v>
      </c>
      <c r="D5" s="23" t="n">
        <v>0.897403542603854</v>
      </c>
      <c r="E5" s="24" t="n">
        <v>281.577278198053</v>
      </c>
      <c r="F5" s="23" t="n">
        <v>0.0880653056042654</v>
      </c>
      <c r="G5" s="23" t="n">
        <v>0.1</v>
      </c>
      <c r="H5" s="23" t="n">
        <v>0.433333333333333</v>
      </c>
      <c r="I5" s="23" t="n">
        <v>0.133333333333333</v>
      </c>
      <c r="J5" s="23" t="n">
        <v>1</v>
      </c>
      <c r="K5" s="23" t="n">
        <v>0.87326501852468</v>
      </c>
      <c r="L5" s="23" t="n">
        <v>0.926035550808569</v>
      </c>
      <c r="M5" s="23" t="n">
        <v>0.917536804018603</v>
      </c>
      <c r="N5" s="23" t="n">
        <v>0.513816499186096</v>
      </c>
      <c r="O5" s="21" t="str">
        <f aca="false">IF(G5&gt;=0.5,"trägt",IF(G5&gt;0,"selten","scheitert"))</f>
        <v>selten</v>
      </c>
    </row>
    <row r="6" customFormat="false" ht="15" hidden="false" customHeight="false" outlineLevel="0" collapsed="false">
      <c r="A6" s="21" t="s">
        <v>238</v>
      </c>
      <c r="B6" s="21" t="s">
        <v>239</v>
      </c>
      <c r="C6" s="22" t="n">
        <v>5.90872709324742</v>
      </c>
      <c r="D6" s="23" t="n">
        <v>0.905744924679131</v>
      </c>
      <c r="E6" s="24" t="n">
        <v>281.68908164739</v>
      </c>
      <c r="F6" s="23" t="n">
        <v>0.0739508144064862</v>
      </c>
      <c r="G6" s="23" t="n">
        <v>0.0666666666666667</v>
      </c>
      <c r="H6" s="23" t="n">
        <v>0.666666666666667</v>
      </c>
      <c r="I6" s="23" t="n">
        <v>0.0666666666666667</v>
      </c>
      <c r="J6" s="23" t="n">
        <v>1</v>
      </c>
      <c r="K6" s="23" t="n">
        <v>0.889825736579595</v>
      </c>
      <c r="L6" s="23" t="n">
        <v>0.919366436138899</v>
      </c>
      <c r="M6" s="23" t="n">
        <v>0.933274727434251</v>
      </c>
      <c r="N6" s="23" t="n">
        <v>0.517709676722048</v>
      </c>
      <c r="O6" s="21" t="str">
        <f aca="false">IF(G6&gt;=0.5,"trägt",IF(G6&gt;0,"selten","scheitert"))</f>
        <v>selten</v>
      </c>
    </row>
    <row r="7" customFormat="false" ht="15" hidden="false" customHeight="false" outlineLevel="0" collapsed="false">
      <c r="A7" s="21" t="s">
        <v>240</v>
      </c>
      <c r="B7" s="21" t="s">
        <v>241</v>
      </c>
      <c r="C7" s="22" t="n">
        <v>5.83028947390698</v>
      </c>
      <c r="D7" s="23" t="n">
        <v>0.911143985531842</v>
      </c>
      <c r="E7" s="24" t="n">
        <v>281.468085353218</v>
      </c>
      <c r="F7" s="23" t="n">
        <v>0.0651077269591061</v>
      </c>
      <c r="G7" s="23" t="n">
        <v>0.133333333333333</v>
      </c>
      <c r="H7" s="23" t="n">
        <v>0.733333333333333</v>
      </c>
      <c r="I7" s="23" t="n">
        <v>0.133333333333333</v>
      </c>
      <c r="J7" s="23" t="n">
        <v>1</v>
      </c>
      <c r="K7" s="23" t="n">
        <v>0.896846431720459</v>
      </c>
      <c r="L7" s="23" t="n">
        <v>0.926190589312602</v>
      </c>
      <c r="M7" s="23" t="n">
        <v>0.928219279168844</v>
      </c>
      <c r="N7" s="23" t="n">
        <v>0.514388601874309</v>
      </c>
      <c r="O7" s="21" t="str">
        <f aca="false">IF(G7&gt;=0.5,"trägt",IF(G7&gt;0,"selten","scheitert"))</f>
        <v>selten</v>
      </c>
    </row>
    <row r="8" customFormat="false" ht="15" hidden="false" customHeight="false" outlineLevel="0" collapsed="false">
      <c r="A8" s="21" t="s">
        <v>242</v>
      </c>
      <c r="B8" s="21" t="s">
        <v>243</v>
      </c>
      <c r="C8" s="22" t="n">
        <v>5.44046253599052</v>
      </c>
      <c r="D8" s="23" t="n">
        <v>0.919517326300408</v>
      </c>
      <c r="E8" s="24" t="n">
        <v>263.397936091093</v>
      </c>
      <c r="F8" s="23" t="n">
        <v>0.0578658663979404</v>
      </c>
      <c r="G8" s="23" t="n">
        <v>0.716666666666667</v>
      </c>
      <c r="H8" s="23" t="n">
        <v>0.816666666666667</v>
      </c>
      <c r="I8" s="23" t="n">
        <v>0.766666666666667</v>
      </c>
      <c r="J8" s="23" t="n">
        <v>1</v>
      </c>
      <c r="K8" s="23" t="n">
        <v>0.926972424877803</v>
      </c>
      <c r="L8" s="23" t="n">
        <v>0.906708481878262</v>
      </c>
      <c r="M8" s="23" t="n">
        <v>0.924339638095356</v>
      </c>
      <c r="N8" s="23" t="n">
        <v>0.496949273873357</v>
      </c>
      <c r="O8" s="21" t="str">
        <f aca="false">IF(G8&gt;=0.5,"trägt",IF(G8&gt;0,"selten","scheitert"))</f>
        <v>trägt</v>
      </c>
    </row>
    <row r="9" customFormat="false" ht="15" hidden="false" customHeight="false" outlineLevel="0" collapsed="false">
      <c r="A9" s="21" t="s">
        <v>244</v>
      </c>
      <c r="B9" s="21" t="s">
        <v>245</v>
      </c>
      <c r="C9" s="22" t="n">
        <v>5.32628417384294</v>
      </c>
      <c r="D9" s="23" t="n">
        <v>0.856455886519542</v>
      </c>
      <c r="E9" s="24" t="n">
        <v>311.9036663473</v>
      </c>
      <c r="F9" s="23" t="n">
        <v>0.0554119733115531</v>
      </c>
      <c r="G9" s="23" t="n">
        <v>0</v>
      </c>
      <c r="H9" s="23" t="n">
        <v>0.0333333333333333</v>
      </c>
      <c r="I9" s="23" t="n">
        <v>0.8</v>
      </c>
      <c r="J9" s="23" t="n">
        <v>0</v>
      </c>
      <c r="K9" s="23" t="n">
        <v>0.907711478275149</v>
      </c>
      <c r="L9" s="23" t="n">
        <v>0.886892770299023</v>
      </c>
      <c r="M9" s="23" t="n">
        <v>0.563249516441006</v>
      </c>
      <c r="N9" s="23" t="n">
        <v>0.491554010846883</v>
      </c>
      <c r="O9" s="21" t="str">
        <f aca="false">IF(G9&gt;=0.5,"trägt",IF(G9&gt;0,"selten","scheitert"))</f>
        <v>scheitert</v>
      </c>
    </row>
    <row r="10" customFormat="false" ht="15" hidden="false" customHeight="false" outlineLevel="0" collapsed="false">
      <c r="A10" s="21" t="s">
        <v>246</v>
      </c>
      <c r="B10" s="21" t="s">
        <v>247</v>
      </c>
      <c r="C10" s="22" t="n">
        <v>5.47670588872182</v>
      </c>
      <c r="D10" s="23" t="n">
        <v>0.917140069990577</v>
      </c>
      <c r="E10" s="24" t="n">
        <v>239.189343688869</v>
      </c>
      <c r="F10" s="23" t="n">
        <v>0.0617487945307257</v>
      </c>
      <c r="G10" s="23" t="n">
        <v>0.716666666666667</v>
      </c>
      <c r="H10" s="23" t="n">
        <v>0.9</v>
      </c>
      <c r="I10" s="23" t="n">
        <v>0.716666666666667</v>
      </c>
      <c r="J10" s="23" t="n">
        <v>1</v>
      </c>
      <c r="K10" s="23" t="n">
        <v>0.906405621864385</v>
      </c>
      <c r="L10" s="23" t="n">
        <v>0.935070242758227</v>
      </c>
      <c r="M10" s="23" t="n">
        <v>0.911891020474797</v>
      </c>
      <c r="N10" s="23" t="n">
        <v>0.498814526331329</v>
      </c>
      <c r="O10" s="21" t="str">
        <f aca="false">IF(G10&gt;=0.5,"trägt",IF(G10&gt;0,"selten","scheitert"))</f>
        <v>trägt</v>
      </c>
    </row>
    <row r="11" customFormat="false" ht="15" hidden="false" customHeight="false" outlineLevel="0" collapsed="false">
      <c r="A11" s="21" t="s">
        <v>248</v>
      </c>
      <c r="B11" s="21" t="s">
        <v>249</v>
      </c>
      <c r="C11" s="22" t="n">
        <v>6.7637276814485</v>
      </c>
      <c r="D11" s="23" t="n">
        <v>0.782113794525143</v>
      </c>
      <c r="E11" s="24" t="n">
        <v>350.888631008703</v>
      </c>
      <c r="F11" s="23" t="n">
        <v>0.0463653497615235</v>
      </c>
      <c r="G11" s="23" t="n">
        <v>0</v>
      </c>
      <c r="H11" s="23" t="n">
        <v>0</v>
      </c>
      <c r="I11" s="23" t="n">
        <v>0</v>
      </c>
      <c r="J11" s="23" t="n">
        <v>0.0166666666666667</v>
      </c>
      <c r="K11" s="23" t="n">
        <v>0.715255874070304</v>
      </c>
      <c r="L11" s="23" t="n">
        <v>0.834946988558889</v>
      </c>
      <c r="M11" s="23" t="n">
        <v>0.910289651320901</v>
      </c>
      <c r="N11" s="23" t="n">
        <v>0.551237296715894</v>
      </c>
      <c r="O11" s="21" t="str">
        <f aca="false">IF(G11&gt;=0.5,"trägt",IF(G11&gt;0,"selten","scheitert"))</f>
        <v>scheitert</v>
      </c>
    </row>
    <row r="12" customFormat="false" ht="15" hidden="false" customHeight="false" outlineLevel="0" collapsed="false">
      <c r="A12" s="21" t="s">
        <v>250</v>
      </c>
      <c r="B12" s="21" t="s">
        <v>251</v>
      </c>
      <c r="C12" s="22" t="n">
        <v>18.9681287089174</v>
      </c>
      <c r="D12" s="23" t="n">
        <v>0.911250276864667</v>
      </c>
      <c r="E12" s="24" t="n">
        <v>310.990483298599</v>
      </c>
      <c r="F12" s="23" t="n">
        <v>0.0887497231353331</v>
      </c>
      <c r="G12" s="23" t="n">
        <v>0</v>
      </c>
      <c r="H12" s="23" t="n">
        <v>1</v>
      </c>
      <c r="I12" s="23" t="n">
        <v>0</v>
      </c>
      <c r="J12" s="23" t="n">
        <v>1</v>
      </c>
      <c r="K12" s="23" t="n">
        <v>0.880000000000001</v>
      </c>
      <c r="L12" s="23" t="n">
        <v>0.939999999999999</v>
      </c>
      <c r="M12" s="23" t="n">
        <v>0.960000000000001</v>
      </c>
      <c r="N12" s="23" t="n">
        <v>0.774964909392234</v>
      </c>
      <c r="O12" s="21" t="str">
        <f aca="false">IF(G12&gt;=0.5,"trägt",IF(G12&gt;0,"selten","scheitert"))</f>
        <v>scheitert</v>
      </c>
    </row>
    <row r="13" customFormat="false" ht="15" hidden="false" customHeight="false" outlineLevel="0" collapsed="false">
      <c r="A13" s="21" t="s">
        <v>252</v>
      </c>
      <c r="B13" s="21" t="s">
        <v>253</v>
      </c>
      <c r="C13" s="22" t="n">
        <v>6.42595299949056</v>
      </c>
      <c r="D13" s="23" t="n">
        <v>0.815155010320295</v>
      </c>
      <c r="E13" s="24" t="n">
        <v>334.443207099953</v>
      </c>
      <c r="F13" s="23" t="n">
        <v>0.081641865435625</v>
      </c>
      <c r="G13" s="23" t="n">
        <v>0</v>
      </c>
      <c r="H13" s="23" t="n">
        <v>0</v>
      </c>
      <c r="I13" s="23" t="n">
        <v>0</v>
      </c>
      <c r="J13" s="23" t="n">
        <v>0.0166666666666667</v>
      </c>
      <c r="K13" s="23" t="n">
        <v>0.740964486228743</v>
      </c>
      <c r="L13" s="23" t="n">
        <v>0.873884771321846</v>
      </c>
      <c r="M13" s="23" t="n">
        <v>0.957371485866749</v>
      </c>
      <c r="N13" s="23" t="n">
        <v>0.538565342180559</v>
      </c>
      <c r="O13" s="21" t="str">
        <f aca="false">IF(G13&gt;=0.5,"trägt",IF(G13&gt;0,"selten","scheitert"))</f>
        <v>scheitert</v>
      </c>
    </row>
    <row r="14" customFormat="false" ht="15" hidden="false" customHeight="false" outlineLevel="0" collapsed="false">
      <c r="A14" s="21" t="s">
        <v>254</v>
      </c>
      <c r="B14" s="21" t="s">
        <v>255</v>
      </c>
      <c r="C14" s="22" t="n">
        <v>5.97324398955454</v>
      </c>
      <c r="D14" s="23" t="n">
        <v>0.852921499363215</v>
      </c>
      <c r="E14" s="24" t="n">
        <v>314.943382572599</v>
      </c>
      <c r="F14" s="23" t="n">
        <v>0.0790056386391579</v>
      </c>
      <c r="G14" s="23" t="n">
        <v>0.0166666666666667</v>
      </c>
      <c r="H14" s="23" t="n">
        <v>0.0166666666666667</v>
      </c>
      <c r="I14" s="23" t="n">
        <v>0.0333333333333333</v>
      </c>
      <c r="J14" s="23" t="n">
        <v>0.516666666666667</v>
      </c>
      <c r="K14" s="23" t="n">
        <v>0.789174527350759</v>
      </c>
      <c r="L14" s="23" t="n">
        <v>0.917302937119083</v>
      </c>
      <c r="M14" s="23" t="n">
        <v>0.937060240291623</v>
      </c>
      <c r="N14" s="23" t="n">
        <v>0.520448437635012</v>
      </c>
      <c r="O14" s="21" t="str">
        <f aca="false">IF(G14&gt;=0.5,"trägt",IF(G14&gt;0,"selten","scheitert"))</f>
        <v>selten</v>
      </c>
    </row>
    <row r="15" customFormat="false" ht="15" hidden="false" customHeight="false" outlineLevel="0" collapsed="false">
      <c r="A15" s="21" t="s">
        <v>256</v>
      </c>
      <c r="B15" s="21" t="s">
        <v>257</v>
      </c>
      <c r="C15" s="22" t="n">
        <v>6.585865969745</v>
      </c>
      <c r="D15" s="23" t="n">
        <v>0.840034248107869</v>
      </c>
      <c r="E15" s="24" t="n">
        <v>335.182163287036</v>
      </c>
      <c r="F15" s="23" t="n">
        <v>0.0833555216019941</v>
      </c>
      <c r="G15" s="23" t="n">
        <v>0</v>
      </c>
      <c r="H15" s="23" t="n">
        <v>0</v>
      </c>
      <c r="I15" s="23" t="n">
        <v>0</v>
      </c>
      <c r="J15" s="23" t="n">
        <v>0.283333333333333</v>
      </c>
      <c r="K15" s="23" t="n">
        <v>0.782284879257349</v>
      </c>
      <c r="L15" s="23" t="n">
        <v>0.890891671645103</v>
      </c>
      <c r="M15" s="23" t="n">
        <v>0.937060240291623</v>
      </c>
      <c r="N15" s="23" t="n">
        <v>0.544678225076761</v>
      </c>
      <c r="O15" s="21" t="str">
        <f aca="false">IF(G15&gt;=0.5,"trägt",IF(G15&gt;0,"selten","scheitert"))</f>
        <v>scheitert</v>
      </c>
    </row>
    <row r="17" customFormat="false" ht="15" hidden="false" customHeight="false" outlineLevel="0" collapsed="false">
      <c r="A17" s="20" t="s">
        <v>258</v>
      </c>
    </row>
    <row r="18" customFormat="false" ht="15" hidden="false" customHeight="false" outlineLevel="0" collapsed="false">
      <c r="A18" s="11" t="s">
        <v>259</v>
      </c>
      <c r="B18" s="11" t="s">
        <v>260</v>
      </c>
    </row>
    <row r="19" customFormat="false" ht="15" hidden="false" customHeight="false" outlineLevel="0" collapsed="false">
      <c r="A19" s="11" t="s">
        <v>261</v>
      </c>
      <c r="B19" s="11" t="s">
        <v>262</v>
      </c>
    </row>
    <row r="20" customFormat="false" ht="15" hidden="false" customHeight="false" outlineLevel="0" collapsed="false">
      <c r="A20" s="11" t="s">
        <v>263</v>
      </c>
      <c r="B20" s="11" t="s">
        <v>264</v>
      </c>
    </row>
    <row r="22" customFormat="false" ht="15" hidden="false" customHeight="false" outlineLevel="0" collapsed="false">
      <c r="A22" s="20" t="s">
        <v>265</v>
      </c>
    </row>
    <row r="23" customFormat="false" ht="15" hidden="false" customHeight="false" outlineLevel="0" collapsed="false">
      <c r="A23" s="11" t="s">
        <v>266</v>
      </c>
      <c r="C23" s="15" t="n">
        <v>5.15703570434175</v>
      </c>
    </row>
    <row r="24" customFormat="false" ht="15" hidden="false" customHeight="false" outlineLevel="0" collapsed="false">
      <c r="A24" s="11" t="s">
        <v>267</v>
      </c>
      <c r="C24" s="15" t="n">
        <v>5.56220998113328</v>
      </c>
    </row>
    <row r="25" customFormat="false" ht="15" hidden="false" customHeight="false" outlineLevel="0" collapsed="false">
      <c r="A25" s="11" t="s">
        <v>268</v>
      </c>
      <c r="C25" s="25" t="n">
        <f aca="false">C24/C23-1</f>
        <v>0.0785672816750929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0" t="s">
        <v>269</v>
      </c>
    </row>
    <row r="3" customFormat="false" ht="15" hidden="false" customHeight="false" outlineLevel="0" collapsed="false">
      <c r="A3" s="4" t="s">
        <v>270</v>
      </c>
      <c r="B3" s="4" t="s">
        <v>271</v>
      </c>
      <c r="C3" s="4" t="s">
        <v>272</v>
      </c>
      <c r="D3" s="4" t="s">
        <v>15</v>
      </c>
      <c r="E3" s="4" t="s">
        <v>273</v>
      </c>
    </row>
    <row r="4" customFormat="false" ht="23.85" hidden="false" customHeight="false" outlineLevel="0" collapsed="false">
      <c r="A4" s="6" t="n">
        <v>1</v>
      </c>
      <c r="B4" s="6" t="s">
        <v>274</v>
      </c>
      <c r="C4" s="6" t="s">
        <v>275</v>
      </c>
      <c r="D4" s="26" t="n">
        <f aca="false">Teststrategien!G4</f>
        <v>0</v>
      </c>
      <c r="E4" s="6" t="str">
        <f aca="false">IF(D4=0,"erfüllt","verfehlt")</f>
        <v>erfüllt</v>
      </c>
    </row>
    <row r="5" customFormat="false" ht="23.85" hidden="false" customHeight="false" outlineLevel="0" collapsed="false">
      <c r="A5" s="6" t="n">
        <v>2</v>
      </c>
      <c r="B5" s="6" t="s">
        <v>276</v>
      </c>
      <c r="C5" s="6" t="s">
        <v>277</v>
      </c>
      <c r="D5" s="27" t="n">
        <f aca="false">COUNTIF(Teststrategien!G4:G25,"&gt;=0.5")</f>
        <v>2</v>
      </c>
      <c r="E5" s="6" t="str">
        <f aca="false">IF(D5&gt;=2,"erfüllt","verfehlt")</f>
        <v>erfüllt</v>
      </c>
    </row>
    <row r="6" customFormat="false" ht="15" hidden="false" customHeight="false" outlineLevel="0" collapsed="false">
      <c r="A6" s="6" t="n">
        <v>3</v>
      </c>
      <c r="B6" s="6" t="s">
        <v>278</v>
      </c>
      <c r="C6" s="6" t="s">
        <v>279</v>
      </c>
      <c r="D6" s="6" t="s">
        <v>280</v>
      </c>
      <c r="E6" s="6" t="s">
        <v>281</v>
      </c>
    </row>
    <row r="7" customFormat="false" ht="15" hidden="false" customHeight="false" outlineLevel="0" collapsed="false">
      <c r="A7" s="6" t="n">
        <v>4</v>
      </c>
      <c r="B7" s="6" t="s">
        <v>282</v>
      </c>
      <c r="C7" s="6" t="s">
        <v>283</v>
      </c>
      <c r="D7" s="27" t="n">
        <f aca="false">Parameter!$D$7+Parameter!$D$6</f>
        <v>11.1</v>
      </c>
      <c r="E7" s="6" t="str">
        <f aca="false">"Paketpreis CHF "&amp;TEXT(D7,"0.00")</f>
        <v>Paketpreis CHF 11.10</v>
      </c>
    </row>
    <row r="8" customFormat="false" ht="15" hidden="false" customHeight="false" outlineLevel="0" collapsed="false">
      <c r="A8" s="6" t="n">
        <v>5</v>
      </c>
      <c r="B8" s="6" t="s">
        <v>284</v>
      </c>
      <c r="C8" s="6" t="s">
        <v>285</v>
      </c>
      <c r="D8" s="26" t="n">
        <f aca="false">Startnetz!G12</f>
        <v>0.484712301023698</v>
      </c>
      <c r="E8" s="6" t="str">
        <f aca="false">IF(AND(D8&gt;=0.4,D8&lt;=0.5),"erfüllt","verfehlt")</f>
        <v>erfüllt</v>
      </c>
    </row>
    <row r="9" customFormat="false" ht="15" hidden="false" customHeight="false" outlineLevel="0" collapsed="false">
      <c r="A9" s="6" t="n">
        <v>6</v>
      </c>
      <c r="B9" s="6" t="s">
        <v>286</v>
      </c>
      <c r="C9" s="6" t="s">
        <v>287</v>
      </c>
      <c r="D9" s="27" t="n">
        <f aca="false">COUNTIF(Sensitivität!F4:F19,"stabil")</f>
        <v>15</v>
      </c>
      <c r="E9" s="6" t="str">
        <f aca="false">IF(D9&gt;=14,"erfüllt","prüfen")</f>
        <v>erfüllt</v>
      </c>
    </row>
    <row r="11" customFormat="false" ht="15" hidden="false" customHeight="false" outlineLevel="0" collapsed="false">
      <c r="A11" s="11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4" min="3" style="0" width="44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20" t="s">
        <v>289</v>
      </c>
    </row>
    <row r="3" customFormat="false" ht="23.85" hidden="false" customHeight="false" outlineLevel="0" collapsed="false">
      <c r="A3" s="4" t="s">
        <v>290</v>
      </c>
      <c r="B3" s="4" t="s">
        <v>51</v>
      </c>
      <c r="C3" s="4" t="s">
        <v>291</v>
      </c>
      <c r="D3" s="4" t="s">
        <v>292</v>
      </c>
      <c r="E3" s="4" t="s">
        <v>293</v>
      </c>
      <c r="F3" s="4" t="s">
        <v>294</v>
      </c>
    </row>
    <row r="4" customFormat="false" ht="15" hidden="false" customHeight="false" outlineLevel="0" collapsed="false">
      <c r="A4" s="21" t="s">
        <v>295</v>
      </c>
      <c r="B4" s="28" t="n">
        <v>0.8</v>
      </c>
      <c r="C4" s="21" t="s">
        <v>243</v>
      </c>
      <c r="D4" s="21" t="s">
        <v>247</v>
      </c>
      <c r="E4" s="21" t="s">
        <v>296</v>
      </c>
      <c r="F4" s="21" t="s">
        <v>297</v>
      </c>
    </row>
    <row r="5" customFormat="false" ht="15" hidden="false" customHeight="false" outlineLevel="0" collapsed="false">
      <c r="A5" s="21" t="s">
        <v>295</v>
      </c>
      <c r="B5" s="28" t="n">
        <v>1.2</v>
      </c>
      <c r="C5" s="21" t="s">
        <v>243</v>
      </c>
      <c r="D5" s="21" t="s">
        <v>247</v>
      </c>
      <c r="E5" s="21" t="s">
        <v>296</v>
      </c>
      <c r="F5" s="21" t="s">
        <v>297</v>
      </c>
    </row>
    <row r="6" customFormat="false" ht="15" hidden="false" customHeight="false" outlineLevel="0" collapsed="false">
      <c r="A6" s="21" t="s">
        <v>298</v>
      </c>
      <c r="B6" s="28" t="n">
        <v>0.8</v>
      </c>
      <c r="C6" s="21" t="s">
        <v>247</v>
      </c>
      <c r="D6" s="21" t="s">
        <v>243</v>
      </c>
      <c r="E6" s="21" t="s">
        <v>296</v>
      </c>
      <c r="F6" s="21" t="s">
        <v>297</v>
      </c>
    </row>
    <row r="7" customFormat="false" ht="15" hidden="false" customHeight="false" outlineLevel="0" collapsed="false">
      <c r="A7" s="21" t="s">
        <v>298</v>
      </c>
      <c r="B7" s="28" t="n">
        <v>1.2</v>
      </c>
      <c r="C7" s="21" t="s">
        <v>243</v>
      </c>
      <c r="D7" s="21" t="s">
        <v>247</v>
      </c>
      <c r="E7" s="21" t="s">
        <v>296</v>
      </c>
      <c r="F7" s="21" t="s">
        <v>297</v>
      </c>
    </row>
    <row r="8" customFormat="false" ht="15" hidden="false" customHeight="false" outlineLevel="0" collapsed="false">
      <c r="A8" s="21" t="s">
        <v>299</v>
      </c>
      <c r="B8" s="28" t="n">
        <v>0.8</v>
      </c>
      <c r="C8" s="21" t="s">
        <v>243</v>
      </c>
      <c r="D8" s="21" t="s">
        <v>247</v>
      </c>
      <c r="E8" s="21" t="s">
        <v>296</v>
      </c>
      <c r="F8" s="21" t="s">
        <v>297</v>
      </c>
    </row>
    <row r="9" customFormat="false" ht="15" hidden="false" customHeight="false" outlineLevel="0" collapsed="false">
      <c r="A9" s="21" t="s">
        <v>299</v>
      </c>
      <c r="B9" s="28" t="n">
        <v>1.2</v>
      </c>
      <c r="C9" s="21" t="s">
        <v>243</v>
      </c>
      <c r="D9" s="21" t="s">
        <v>247</v>
      </c>
      <c r="E9" s="21" t="s">
        <v>296</v>
      </c>
      <c r="F9" s="21" t="s">
        <v>297</v>
      </c>
    </row>
    <row r="10" customFormat="false" ht="15" hidden="false" customHeight="false" outlineLevel="0" collapsed="false">
      <c r="A10" s="21" t="s">
        <v>300</v>
      </c>
      <c r="B10" s="28" t="n">
        <v>0.8</v>
      </c>
      <c r="C10" s="21" t="s">
        <v>243</v>
      </c>
      <c r="D10" s="21" t="s">
        <v>247</v>
      </c>
      <c r="E10" s="21" t="s">
        <v>296</v>
      </c>
      <c r="F10" s="21" t="s">
        <v>297</v>
      </c>
    </row>
    <row r="11" customFormat="false" ht="15" hidden="false" customHeight="false" outlineLevel="0" collapsed="false">
      <c r="A11" s="21" t="s">
        <v>300</v>
      </c>
      <c r="B11" s="28" t="n">
        <v>1.2</v>
      </c>
      <c r="C11" s="21" t="s">
        <v>243</v>
      </c>
      <c r="D11" s="21" t="s">
        <v>247</v>
      </c>
      <c r="E11" s="21" t="s">
        <v>296</v>
      </c>
      <c r="F11" s="21" t="s">
        <v>297</v>
      </c>
    </row>
    <row r="12" customFormat="false" ht="15" hidden="false" customHeight="false" outlineLevel="0" collapsed="false">
      <c r="A12" s="21" t="s">
        <v>301</v>
      </c>
      <c r="B12" s="28" t="n">
        <v>0.8</v>
      </c>
      <c r="C12" s="21" t="s">
        <v>247</v>
      </c>
      <c r="D12" s="21" t="s">
        <v>243</v>
      </c>
      <c r="E12" s="21" t="s">
        <v>296</v>
      </c>
      <c r="F12" s="21" t="s">
        <v>297</v>
      </c>
    </row>
    <row r="13" customFormat="false" ht="15" hidden="false" customHeight="false" outlineLevel="0" collapsed="false">
      <c r="A13" s="21" t="s">
        <v>301</v>
      </c>
      <c r="B13" s="28" t="n">
        <v>1.2</v>
      </c>
      <c r="C13" s="21" t="s">
        <v>243</v>
      </c>
      <c r="D13" s="21" t="s">
        <v>245</v>
      </c>
      <c r="E13" s="21" t="s">
        <v>296</v>
      </c>
      <c r="F13" s="21" t="s">
        <v>302</v>
      </c>
    </row>
    <row r="14" customFormat="false" ht="15" hidden="false" customHeight="false" outlineLevel="0" collapsed="false">
      <c r="A14" s="21" t="s">
        <v>303</v>
      </c>
      <c r="B14" s="28" t="n">
        <v>0.8</v>
      </c>
      <c r="C14" s="21" t="s">
        <v>243</v>
      </c>
      <c r="D14" s="21" t="s">
        <v>247</v>
      </c>
      <c r="E14" s="21" t="s">
        <v>296</v>
      </c>
      <c r="F14" s="21" t="s">
        <v>297</v>
      </c>
    </row>
    <row r="15" customFormat="false" ht="15" hidden="false" customHeight="false" outlineLevel="0" collapsed="false">
      <c r="A15" s="21" t="s">
        <v>303</v>
      </c>
      <c r="B15" s="28" t="n">
        <v>1.2</v>
      </c>
      <c r="C15" s="21" t="s">
        <v>243</v>
      </c>
      <c r="D15" s="21" t="s">
        <v>247</v>
      </c>
      <c r="E15" s="21" t="s">
        <v>296</v>
      </c>
      <c r="F15" s="21" t="s">
        <v>297</v>
      </c>
    </row>
    <row r="16" customFormat="false" ht="15" hidden="false" customHeight="false" outlineLevel="0" collapsed="false">
      <c r="A16" s="21" t="s">
        <v>304</v>
      </c>
      <c r="B16" s="28" t="n">
        <v>0.8</v>
      </c>
      <c r="C16" s="21" t="s">
        <v>243</v>
      </c>
      <c r="D16" s="21" t="s">
        <v>247</v>
      </c>
      <c r="E16" s="21" t="s">
        <v>296</v>
      </c>
      <c r="F16" s="21" t="s">
        <v>297</v>
      </c>
    </row>
    <row r="17" customFormat="false" ht="15" hidden="false" customHeight="false" outlineLevel="0" collapsed="false">
      <c r="A17" s="21" t="s">
        <v>304</v>
      </c>
      <c r="B17" s="28" t="n">
        <v>1.2</v>
      </c>
      <c r="C17" s="21" t="s">
        <v>243</v>
      </c>
      <c r="D17" s="21" t="s">
        <v>247</v>
      </c>
      <c r="E17" s="21" t="s">
        <v>296</v>
      </c>
      <c r="F17" s="21" t="s">
        <v>297</v>
      </c>
    </row>
    <row r="18" customFormat="false" ht="15" hidden="false" customHeight="false" outlineLevel="0" collapsed="false">
      <c r="A18" s="21" t="s">
        <v>305</v>
      </c>
      <c r="B18" s="28" t="n">
        <v>0.8</v>
      </c>
      <c r="C18" s="21" t="s">
        <v>243</v>
      </c>
      <c r="D18" s="21" t="s">
        <v>247</v>
      </c>
      <c r="E18" s="21" t="s">
        <v>296</v>
      </c>
      <c r="F18" s="21" t="s">
        <v>297</v>
      </c>
    </row>
    <row r="19" customFormat="false" ht="15" hidden="false" customHeight="false" outlineLevel="0" collapsed="false">
      <c r="A19" s="21" t="s">
        <v>305</v>
      </c>
      <c r="B19" s="28" t="n">
        <v>1.2</v>
      </c>
      <c r="C19" s="21" t="s">
        <v>243</v>
      </c>
      <c r="D19" s="21" t="s">
        <v>247</v>
      </c>
      <c r="E19" s="21" t="s">
        <v>296</v>
      </c>
      <c r="F19" s="21" t="s">
        <v>297</v>
      </c>
    </row>
    <row r="21" customFormat="false" ht="15" hidden="false" customHeight="false" outlineLevel="0" collapsed="false">
      <c r="A21" s="11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2026-10-29T12:32:23Z</dcterms:created>
  <dc:creator>openpyxl</dc:creator>
  <dc:description/>
  <dc:language>en-US</dc:language>
  <cp:lastModifiedBy/>
  <dcterms:modified xsi:type="dcterms:W3CDTF">2026-10-29T12:32:23Z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